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 정다운\4. 소규모환경영향평가\2. 천안시 동남구 동면 화덕리 30번지일원 태양광발전시설 조성사업\1. 기타자료\3. 엑셀\"/>
    </mc:Choice>
  </mc:AlternateContent>
  <bookViews>
    <workbookView xWindow="-345" yWindow="4170" windowWidth="16320" windowHeight="12345"/>
  </bookViews>
  <sheets>
    <sheet name="Sheet1" sheetId="1" r:id="rId1"/>
    <sheet name="침사지" sheetId="2" r:id="rId2"/>
  </sheets>
  <calcPr calcId="162913"/>
</workbook>
</file>

<file path=xl/calcChain.xml><?xml version="1.0" encoding="utf-8"?>
<calcChain xmlns="http://schemas.openxmlformats.org/spreadsheetml/2006/main">
  <c r="E43" i="1" l="1"/>
  <c r="O31" i="1" l="1"/>
  <c r="N30" i="1"/>
  <c r="F22" i="1" l="1"/>
  <c r="D14" i="1"/>
  <c r="F23" i="1" l="1"/>
  <c r="N17" i="1"/>
  <c r="N14" i="1"/>
  <c r="N15" i="1"/>
  <c r="W10" i="1"/>
  <c r="F20" i="2" l="1"/>
  <c r="D5" i="1"/>
  <c r="F9" i="2" l="1"/>
  <c r="C13" i="1"/>
  <c r="F13" i="1" s="1"/>
  <c r="G13" i="1" l="1"/>
  <c r="D4" i="2"/>
  <c r="C21" i="1"/>
  <c r="G21" i="1" s="1"/>
  <c r="C60" i="1"/>
  <c r="D45" i="1"/>
  <c r="E23" i="1"/>
  <c r="D23" i="1"/>
  <c r="E15" i="1"/>
  <c r="E14" i="1"/>
  <c r="D15" i="1"/>
  <c r="C15" i="1"/>
  <c r="C23" i="1" s="1"/>
  <c r="G23" i="1" l="1"/>
  <c r="D52" i="1" s="1"/>
  <c r="F15" i="1"/>
  <c r="D31" i="1" l="1"/>
  <c r="G15" i="1"/>
  <c r="D60" i="1"/>
  <c r="E60" i="1" s="1"/>
  <c r="E52" i="1"/>
  <c r="F60" i="1" l="1"/>
  <c r="C45" i="1"/>
  <c r="E45" i="1" s="1"/>
  <c r="G45" i="1" s="1"/>
  <c r="I45" i="1" s="1"/>
  <c r="C31" i="1"/>
  <c r="E31" i="1" s="1"/>
  <c r="G60" i="1" l="1"/>
  <c r="F52" i="1" l="1"/>
  <c r="G52" i="1" l="1"/>
  <c r="H60" i="1"/>
  <c r="I60" i="1" s="1"/>
  <c r="J60" i="1" l="1"/>
  <c r="K60" i="1" l="1"/>
  <c r="B32" i="2" l="1"/>
  <c r="B10" i="2" l="1"/>
  <c r="C67" i="1"/>
  <c r="H81" i="1" l="1"/>
  <c r="J81" i="1" s="1"/>
  <c r="H79" i="1"/>
  <c r="J79" i="1" s="1"/>
  <c r="H75" i="1"/>
  <c r="J75" i="1" s="1"/>
  <c r="H74" i="1"/>
  <c r="J74" i="1" s="1"/>
  <c r="H73" i="1"/>
  <c r="J73" i="1" s="1"/>
  <c r="B31" i="2"/>
  <c r="D22" i="1"/>
  <c r="E22" i="1"/>
  <c r="D67" i="1"/>
  <c r="B20" i="2"/>
  <c r="B9" i="2"/>
  <c r="J83" i="1" l="1"/>
  <c r="H83" i="1"/>
  <c r="C22" i="1"/>
  <c r="G22" i="1" s="1"/>
  <c r="G24" i="1" l="1"/>
  <c r="D53" i="1" s="1"/>
  <c r="D61" i="1" s="1"/>
  <c r="D29" i="1"/>
  <c r="D51" i="1"/>
  <c r="D59" i="1" s="1"/>
  <c r="D50" i="1"/>
  <c r="D30" i="1"/>
  <c r="C14" i="1"/>
  <c r="D58" i="1" l="1"/>
  <c r="F58" i="1" s="1"/>
  <c r="E50" i="1"/>
  <c r="D32" i="1"/>
  <c r="C16" i="1"/>
  <c r="C24" i="1" s="1"/>
  <c r="C29" i="1"/>
  <c r="E29" i="1" s="1"/>
  <c r="F32" i="2"/>
  <c r="F14" i="1"/>
  <c r="F38" i="1" l="1"/>
  <c r="F50" i="1"/>
  <c r="F16" i="1"/>
  <c r="E38" i="1" s="1"/>
  <c r="B21" i="2"/>
  <c r="D5" i="2"/>
  <c r="C43" i="1"/>
  <c r="G43" i="1" s="1"/>
  <c r="E36" i="2"/>
  <c r="E35" i="2"/>
  <c r="E38" i="2"/>
  <c r="E34" i="2"/>
  <c r="E37" i="2"/>
  <c r="E15" i="2"/>
  <c r="E13" i="2"/>
  <c r="E16" i="2"/>
  <c r="E14" i="2"/>
  <c r="E12" i="2"/>
  <c r="G14" i="1"/>
  <c r="G16" i="1" s="1"/>
  <c r="E67" i="1" l="1"/>
  <c r="G38" i="1"/>
  <c r="G67" i="1"/>
  <c r="E26" i="2"/>
  <c r="E27" i="2"/>
  <c r="E24" i="2"/>
  <c r="E23" i="2"/>
  <c r="E25" i="2"/>
  <c r="I43" i="1"/>
  <c r="F14" i="2"/>
  <c r="G14" i="2" s="1"/>
  <c r="F13" i="2"/>
  <c r="G13" i="2" s="1"/>
  <c r="F15" i="2"/>
  <c r="G15" i="2" s="1"/>
  <c r="F12" i="2"/>
  <c r="G12" i="2" s="1"/>
  <c r="F16" i="2"/>
  <c r="G16" i="2" s="1"/>
  <c r="C44" i="1"/>
  <c r="E44" i="1" s="1"/>
  <c r="G44" i="1" s="1"/>
  <c r="F21" i="2" s="1"/>
  <c r="C30" i="1"/>
  <c r="H38" i="1" l="1"/>
  <c r="H58" i="1"/>
  <c r="J58" i="1" s="1"/>
  <c r="F67" i="1" s="1"/>
  <c r="G50" i="1"/>
  <c r="C32" i="1"/>
  <c r="E30" i="1"/>
  <c r="E32" i="1" s="1"/>
  <c r="G17" i="2"/>
  <c r="I44" i="1"/>
  <c r="F34" i="2" l="1"/>
  <c r="G34" i="2" s="1"/>
  <c r="F35" i="2"/>
  <c r="G35" i="2" s="1"/>
  <c r="F38" i="2"/>
  <c r="G38" i="2" s="1"/>
  <c r="F37" i="2"/>
  <c r="G37" i="2" s="1"/>
  <c r="F36" i="2"/>
  <c r="G36" i="2" s="1"/>
  <c r="F51" i="1"/>
  <c r="H59" i="1" s="1"/>
  <c r="F23" i="2"/>
  <c r="G23" i="2" s="1"/>
  <c r="F26" i="2"/>
  <c r="G26" i="2" s="1"/>
  <c r="F25" i="2"/>
  <c r="G25" i="2" s="1"/>
  <c r="F27" i="2"/>
  <c r="G27" i="2" s="1"/>
  <c r="F24" i="2"/>
  <c r="G24" i="2" s="1"/>
  <c r="I58" i="1" l="1"/>
  <c r="E58" i="1"/>
  <c r="G39" i="2"/>
  <c r="G28" i="2"/>
  <c r="F53" i="1"/>
  <c r="H61" i="1" s="1"/>
  <c r="E51" i="1" l="1"/>
  <c r="E53" i="1" s="1"/>
  <c r="G51" i="1"/>
  <c r="G53" i="1" s="1"/>
  <c r="G58" i="1" l="1"/>
  <c r="K58" i="1"/>
  <c r="I59" i="1"/>
  <c r="E59" i="1"/>
  <c r="F59" i="1" l="1"/>
  <c r="E61" i="1"/>
  <c r="J59" i="1"/>
  <c r="I61" i="1"/>
  <c r="K59" i="1" l="1"/>
  <c r="K61" i="1" s="1"/>
  <c r="J61" i="1"/>
  <c r="H67" i="1" s="1"/>
  <c r="G59" i="1"/>
  <c r="G61" i="1" s="1"/>
  <c r="F61" i="1"/>
</calcChain>
</file>

<file path=xl/sharedStrings.xml><?xml version="1.0" encoding="utf-8"?>
<sst xmlns="http://schemas.openxmlformats.org/spreadsheetml/2006/main" count="306" uniqueCount="158">
  <si>
    <t>배수유역</t>
    <phoneticPr fontId="1" type="noConversion"/>
  </si>
  <si>
    <t>구 분</t>
  </si>
  <si>
    <t>면 적</t>
  </si>
  <si>
    <t>비 고</t>
  </si>
  <si>
    <t>㎡</t>
  </si>
  <si>
    <t>ha</t>
  </si>
  <si>
    <t>배수유역①</t>
  </si>
  <si>
    <t>배수유역②</t>
  </si>
  <si>
    <t>우수유출량</t>
  </si>
  <si>
    <t>우수유출량</t>
    <phoneticPr fontId="1" type="noConversion"/>
  </si>
  <si>
    <t>배수면적</t>
  </si>
  <si>
    <t>(ha)</t>
  </si>
  <si>
    <t>유출계수</t>
  </si>
  <si>
    <t>강우강도</t>
  </si>
  <si>
    <t>(mm/hr)</t>
  </si>
  <si>
    <r>
      <t>(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/sec)</t>
    </r>
  </si>
  <si>
    <r>
      <t>(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/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)</t>
    </r>
  </si>
  <si>
    <t>합 계</t>
  </si>
  <si>
    <t>-</t>
  </si>
  <si>
    <t>출력</t>
    <phoneticPr fontId="1" type="noConversion"/>
  </si>
  <si>
    <t>지역별입력</t>
    <phoneticPr fontId="1" type="noConversion"/>
  </si>
  <si>
    <t>입력</t>
    <phoneticPr fontId="1" type="noConversion"/>
  </si>
  <si>
    <t>토사유출량</t>
  </si>
  <si>
    <t>토사유출량</t>
    <phoneticPr fontId="1" type="noConversion"/>
  </si>
  <si>
    <t>토사유출량원단위</t>
  </si>
  <si>
    <r>
      <t>(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/ha</t>
    </r>
    <r>
      <rPr>
        <sz val="10"/>
        <color rgb="FF000000"/>
        <rFont val="맑은 고딕"/>
        <family val="3"/>
        <charset val="129"/>
        <scheme val="minor"/>
      </rPr>
      <t>․년</t>
    </r>
    <r>
      <rPr>
        <sz val="10"/>
        <color rgb="FF000000"/>
        <rFont val="나눔고딕"/>
        <family val="3"/>
        <charset val="129"/>
      </rPr>
      <t>)</t>
    </r>
  </si>
  <si>
    <t>토사비중</t>
  </si>
  <si>
    <r>
      <t>(ton/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)</t>
    </r>
  </si>
  <si>
    <t>강우일수</t>
  </si>
  <si>
    <r>
      <t>(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/10</t>
    </r>
    <r>
      <rPr>
        <sz val="10"/>
        <color rgb="FF000000"/>
        <rFont val="맑은 고딕"/>
        <family val="3"/>
        <charset val="129"/>
        <scheme val="minor"/>
      </rPr>
      <t>년</t>
    </r>
    <r>
      <rPr>
        <sz val="10"/>
        <color rgb="FF000000"/>
        <rFont val="나눔고딕"/>
        <family val="3"/>
        <charset val="129"/>
      </rPr>
      <t>)</t>
    </r>
  </si>
  <si>
    <r>
      <t>(ton/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)</t>
    </r>
  </si>
  <si>
    <t xml:space="preserve">합 계 </t>
  </si>
  <si>
    <t>무처리방류시 부유물질 산정</t>
    <phoneticPr fontId="1" type="noConversion"/>
  </si>
  <si>
    <t>부유물질농도</t>
  </si>
  <si>
    <r>
      <t>(mg/</t>
    </r>
    <r>
      <rPr>
        <sz val="10"/>
        <color rgb="FF000000"/>
        <rFont val="맑은 고딕"/>
        <family val="3"/>
        <charset val="129"/>
        <scheme val="minor"/>
      </rPr>
      <t>ℓ</t>
    </r>
    <r>
      <rPr>
        <sz val="10"/>
        <color rgb="FF000000"/>
        <rFont val="나눔고딕"/>
        <family val="3"/>
        <charset val="129"/>
      </rPr>
      <t>)</t>
    </r>
  </si>
  <si>
    <r>
      <t>합계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평균</t>
    </r>
    <r>
      <rPr>
        <sz val="10"/>
        <color rgb="FF000000"/>
        <rFont val="나눔고딕"/>
        <family val="3"/>
        <charset val="129"/>
      </rPr>
      <t>)</t>
    </r>
  </si>
  <si>
    <t>합류점에서 혼합농도</t>
    <phoneticPr fontId="1" type="noConversion"/>
  </si>
  <si>
    <t>현 황 치</t>
  </si>
  <si>
    <t>가 중 치</t>
  </si>
  <si>
    <r>
      <t>순간 혼합농도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단순혼합</t>
    </r>
    <r>
      <rPr>
        <sz val="10"/>
        <color rgb="FF000000"/>
        <rFont val="나눔고딕"/>
        <family val="3"/>
        <charset val="129"/>
      </rPr>
      <t>)</t>
    </r>
  </si>
  <si>
    <r>
      <t>유량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/sec)</t>
    </r>
  </si>
  <si>
    <r>
      <t>Q</t>
    </r>
    <r>
      <rPr>
        <vertAlign val="subscript"/>
        <sz val="10"/>
        <color rgb="FF000000"/>
        <rFont val="나눔고딕"/>
        <family val="3"/>
        <charset val="129"/>
      </rPr>
      <t>1</t>
    </r>
  </si>
  <si>
    <r>
      <t>농도</t>
    </r>
    <r>
      <rPr>
        <sz val="10"/>
        <color rgb="FF000000"/>
        <rFont val="나눔고딕"/>
        <family val="3"/>
        <charset val="129"/>
      </rPr>
      <t>(mg/</t>
    </r>
    <r>
      <rPr>
        <sz val="10"/>
        <color rgb="FF000000"/>
        <rFont val="맑은 고딕"/>
        <family val="3"/>
        <charset val="129"/>
        <scheme val="minor"/>
      </rPr>
      <t>ℓ</t>
    </r>
    <r>
      <rPr>
        <sz val="10"/>
        <color rgb="FF000000"/>
        <rFont val="나눔고딕"/>
        <family val="3"/>
        <charset val="129"/>
      </rPr>
      <t>)</t>
    </r>
  </si>
  <si>
    <r>
      <t>C</t>
    </r>
    <r>
      <rPr>
        <vertAlign val="subscript"/>
        <sz val="10"/>
        <color rgb="FF000000"/>
        <rFont val="나눔고딕"/>
        <family val="3"/>
        <charset val="129"/>
      </rPr>
      <t>1</t>
    </r>
  </si>
  <si>
    <r>
      <t>Q</t>
    </r>
    <r>
      <rPr>
        <vertAlign val="subscript"/>
        <sz val="10"/>
        <color rgb="FF000000"/>
        <rFont val="나눔고딕"/>
        <family val="3"/>
        <charset val="129"/>
      </rPr>
      <t>2</t>
    </r>
  </si>
  <si>
    <r>
      <t>C</t>
    </r>
    <r>
      <rPr>
        <vertAlign val="subscript"/>
        <sz val="10"/>
        <color rgb="FF000000"/>
        <rFont val="나눔고딕"/>
        <family val="3"/>
        <charset val="129"/>
      </rPr>
      <t>2</t>
    </r>
  </si>
  <si>
    <r>
      <t>Q</t>
    </r>
    <r>
      <rPr>
        <vertAlign val="subscript"/>
        <sz val="10"/>
        <color rgb="FF000000"/>
        <rFont val="나눔고딕"/>
        <family val="3"/>
        <charset val="129"/>
      </rPr>
      <t>1</t>
    </r>
    <r>
      <rPr>
        <sz val="10"/>
        <color rgb="FF000000"/>
        <rFont val="나눔고딕"/>
        <family val="3"/>
        <charset val="129"/>
      </rPr>
      <t>+Q</t>
    </r>
    <r>
      <rPr>
        <vertAlign val="subscript"/>
        <sz val="10"/>
        <color rgb="FF000000"/>
        <rFont val="나눔고딕"/>
        <family val="3"/>
        <charset val="129"/>
      </rPr>
      <t>2</t>
    </r>
  </si>
  <si>
    <t>C</t>
  </si>
  <si>
    <t>W-2</t>
    <phoneticPr fontId="1" type="noConversion"/>
  </si>
  <si>
    <t>침사지 규모산정</t>
    <phoneticPr fontId="1" type="noConversion"/>
  </si>
  <si>
    <t>구분</t>
  </si>
  <si>
    <t>표면부하율</t>
  </si>
  <si>
    <r>
      <t>(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/</t>
    </r>
    <r>
      <rPr>
        <sz val="10"/>
        <color rgb="FF000000"/>
        <rFont val="맑은 고딕"/>
        <family val="3"/>
        <charset val="129"/>
        <scheme val="minor"/>
      </rPr>
      <t>㎡․일</t>
    </r>
    <r>
      <rPr>
        <sz val="10"/>
        <color rgb="FF000000"/>
        <rFont val="나눔고딕"/>
        <family val="3"/>
        <charset val="129"/>
      </rPr>
      <t>)</t>
    </r>
  </si>
  <si>
    <t>침사지</t>
  </si>
  <si>
    <r>
      <t>소요면적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㎡</t>
    </r>
    <r>
      <rPr>
        <sz val="10"/>
        <color rgb="FF000000"/>
        <rFont val="나눔고딕"/>
        <family val="3"/>
        <charset val="129"/>
      </rPr>
      <t>)</t>
    </r>
  </si>
  <si>
    <t>여유율</t>
  </si>
  <si>
    <t>(%)</t>
  </si>
  <si>
    <t xml:space="preserve">침사지 </t>
  </si>
  <si>
    <r>
      <t>설치면적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㎡</t>
    </r>
    <r>
      <rPr>
        <sz val="10"/>
        <color rgb="FF000000"/>
        <rFont val="나눔고딕"/>
        <family val="3"/>
        <charset val="129"/>
      </rPr>
      <t>)</t>
    </r>
  </si>
  <si>
    <t>깊이</t>
  </si>
  <si>
    <t>(m)</t>
  </si>
  <si>
    <r>
      <t>용량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)</t>
    </r>
  </si>
  <si>
    <t>비고</t>
  </si>
  <si>
    <t>◆ 임시침사지 설계</t>
    <phoneticPr fontId="1" type="noConversion"/>
  </si>
  <si>
    <t>1) 침사지 설계 입력자료</t>
    <phoneticPr fontId="1" type="noConversion"/>
  </si>
  <si>
    <t>유역명</t>
    <phoneticPr fontId="1" type="noConversion"/>
  </si>
  <si>
    <t>사업단계</t>
    <phoneticPr fontId="1" type="noConversion"/>
  </si>
  <si>
    <t>유역면적
(ha)</t>
    <phoneticPr fontId="1" type="noConversion"/>
  </si>
  <si>
    <t>침사지 설계유량
(m3/s)</t>
    <phoneticPr fontId="1" type="noConversion"/>
  </si>
  <si>
    <t>개발중
토사유출량</t>
    <phoneticPr fontId="1" type="noConversion"/>
  </si>
  <si>
    <t>2) 소요수면적 및 포착효율 산정</t>
    <phoneticPr fontId="1" type="noConversion"/>
  </si>
  <si>
    <t xml:space="preserve">▷ 지점명  : </t>
    <phoneticPr fontId="1" type="noConversion"/>
  </si>
  <si>
    <t xml:space="preserve">▷ 배수구역면적 : </t>
    <phoneticPr fontId="1" type="noConversion"/>
  </si>
  <si>
    <t>ha</t>
    <phoneticPr fontId="1" type="noConversion"/>
  </si>
  <si>
    <t xml:space="preserve">▷ 설계유량  : </t>
    <phoneticPr fontId="1" type="noConversion"/>
  </si>
  <si>
    <t>m3/s</t>
    <phoneticPr fontId="1" type="noConversion"/>
  </si>
  <si>
    <t>m2</t>
    <phoneticPr fontId="1" type="noConversion"/>
  </si>
  <si>
    <t>입 경
(mm)</t>
    <phoneticPr fontId="1" type="noConversion"/>
  </si>
  <si>
    <t>입경별 구성비
(%)</t>
    <phoneticPr fontId="1" type="noConversion"/>
  </si>
  <si>
    <t>침강속도
(cm/s)</t>
    <phoneticPr fontId="1" type="noConversion"/>
  </si>
  <si>
    <t>소요수면적
(m2)</t>
    <phoneticPr fontId="1" type="noConversion"/>
  </si>
  <si>
    <t>포착율
(%)</t>
    <phoneticPr fontId="1" type="noConversion"/>
  </si>
  <si>
    <t>입경별 포착율
(%)</t>
    <phoneticPr fontId="1" type="noConversion"/>
  </si>
  <si>
    <t>배수구역1</t>
    <phoneticPr fontId="1" type="noConversion"/>
  </si>
  <si>
    <t xml:space="preserve">▷ 침사지면적 : </t>
    <phoneticPr fontId="1" type="noConversion"/>
  </si>
  <si>
    <t xml:space="preserve">▷ 공정  : </t>
    <phoneticPr fontId="1" type="noConversion"/>
  </si>
  <si>
    <t xml:space="preserve">공사시 </t>
    <phoneticPr fontId="1" type="noConversion"/>
  </si>
  <si>
    <t>배수구역2</t>
    <phoneticPr fontId="1" type="noConversion"/>
  </si>
  <si>
    <t>공사시</t>
    <phoneticPr fontId="1" type="noConversion"/>
  </si>
  <si>
    <t>침사지 설치 전 후 토사유출량 및 토사 농도 저감효과</t>
    <phoneticPr fontId="1" type="noConversion"/>
  </si>
  <si>
    <t>토사제거효율</t>
  </si>
  <si>
    <r>
      <t>토사유출량</t>
    </r>
    <r>
      <rPr>
        <sz val="10"/>
        <color rgb="FF000000"/>
        <rFont val="나눔고딕"/>
        <family val="3"/>
        <charset val="129"/>
      </rPr>
      <t>(ton/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)</t>
    </r>
  </si>
  <si>
    <r>
      <t>토사농도</t>
    </r>
    <r>
      <rPr>
        <sz val="10"/>
        <color rgb="FF000000"/>
        <rFont val="나눔고딕"/>
        <family val="3"/>
        <charset val="129"/>
      </rPr>
      <t>(mg/</t>
    </r>
    <r>
      <rPr>
        <sz val="10"/>
        <color rgb="FF000000"/>
        <rFont val="맑은 고딕"/>
        <family val="3"/>
        <charset val="129"/>
        <scheme val="minor"/>
      </rPr>
      <t>ℓ</t>
    </r>
    <r>
      <rPr>
        <sz val="10"/>
        <color rgb="FF000000"/>
        <rFont val="나눔고딕"/>
        <family val="3"/>
        <charset val="129"/>
      </rPr>
      <t>)</t>
    </r>
  </si>
  <si>
    <t>설치전</t>
  </si>
  <si>
    <t>설치후</t>
  </si>
  <si>
    <t>침사지설치후 합류농도</t>
    <phoneticPr fontId="1" type="noConversion"/>
  </si>
  <si>
    <t>침사지 설치 전 후 토사유출량 및 토사 농도 저감효과 (다단계시)</t>
    <phoneticPr fontId="1" type="noConversion"/>
  </si>
  <si>
    <t>설치후(2단계)</t>
    <phoneticPr fontId="1" type="noConversion"/>
  </si>
  <si>
    <t>설치후(3단계)</t>
    <phoneticPr fontId="1" type="noConversion"/>
  </si>
  <si>
    <t>설치후(1단계)</t>
    <phoneticPr fontId="1" type="noConversion"/>
  </si>
  <si>
    <t>용 도</t>
  </si>
  <si>
    <t>연면적</t>
  </si>
  <si>
    <r>
      <t>(</t>
    </r>
    <r>
      <rPr>
        <sz val="10"/>
        <color rgb="FF000000"/>
        <rFont val="맑은 고딕"/>
        <family val="3"/>
        <charset val="129"/>
        <scheme val="minor"/>
      </rPr>
      <t>㎡</t>
    </r>
    <r>
      <rPr>
        <sz val="10"/>
        <color rgb="FF000000"/>
        <rFont val="나눔고딕"/>
        <family val="3"/>
        <charset val="129"/>
      </rPr>
      <t>)</t>
    </r>
  </si>
  <si>
    <t>계획인원</t>
  </si>
  <si>
    <r>
      <t>오수량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㎥</t>
    </r>
    <r>
      <rPr>
        <sz val="10"/>
        <color rgb="FF000000"/>
        <rFont val="나눔고딕"/>
        <family val="3"/>
        <charset val="129"/>
      </rPr>
      <t>/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)</t>
    </r>
  </si>
  <si>
    <r>
      <t>기준</t>
    </r>
    <r>
      <rPr>
        <sz val="10"/>
        <color rgb="FF000000"/>
        <rFont val="나눔고딕"/>
        <family val="3"/>
        <charset val="129"/>
      </rPr>
      <t>BOD</t>
    </r>
  </si>
  <si>
    <t>농도</t>
  </si>
  <si>
    <r>
      <t>(</t>
    </r>
    <r>
      <rPr>
        <sz val="10"/>
        <color rgb="FF000000"/>
        <rFont val="맑은 고딕"/>
        <family val="3"/>
        <charset val="129"/>
        <scheme val="minor"/>
      </rPr>
      <t>㎎</t>
    </r>
    <r>
      <rPr>
        <sz val="10"/>
        <color rgb="FF000000"/>
        <rFont val="나눔고딕"/>
        <family val="3"/>
        <charset val="129"/>
      </rPr>
      <t>/L)</t>
    </r>
  </si>
  <si>
    <t>BOD</t>
  </si>
  <si>
    <t>부하량</t>
  </si>
  <si>
    <r>
      <t>(</t>
    </r>
    <r>
      <rPr>
        <sz val="10"/>
        <color rgb="FF000000"/>
        <rFont val="맑은 고딕"/>
        <family val="3"/>
        <charset val="129"/>
        <scheme val="minor"/>
      </rPr>
      <t>㎏</t>
    </r>
    <r>
      <rPr>
        <sz val="10"/>
        <color rgb="FF000000"/>
        <rFont val="나눔고딕"/>
        <family val="3"/>
        <charset val="129"/>
      </rPr>
      <t>/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)</t>
    </r>
  </si>
  <si>
    <t>기준</t>
  </si>
  <si>
    <t>인원</t>
  </si>
  <si>
    <t>기 준</t>
  </si>
  <si>
    <t>오수량</t>
  </si>
  <si>
    <r>
      <t>1</t>
    </r>
    <r>
      <rPr>
        <sz val="10"/>
        <color rgb="FF000000"/>
        <rFont val="맑은 고딕"/>
        <family val="3"/>
        <charset val="129"/>
        <scheme val="minor"/>
      </rPr>
      <t>동</t>
    </r>
  </si>
  <si>
    <t>실험실</t>
  </si>
  <si>
    <t>면적</t>
  </si>
  <si>
    <t>사무실</t>
  </si>
  <si>
    <r>
      <t>2</t>
    </r>
    <r>
      <rPr>
        <sz val="10"/>
        <color rgb="FF000000"/>
        <rFont val="맑은 고딕"/>
        <family val="3"/>
        <charset val="129"/>
        <scheme val="minor"/>
      </rPr>
      <t>동</t>
    </r>
  </si>
  <si>
    <r>
      <t>식당</t>
    </r>
    <r>
      <rPr>
        <sz val="10"/>
        <color rgb="FF000000"/>
        <rFont val="나눔고딕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휴게실</t>
    </r>
  </si>
  <si>
    <r>
      <t>3</t>
    </r>
    <r>
      <rPr>
        <sz val="10"/>
        <color rgb="FF000000"/>
        <rFont val="맑은 고딕"/>
        <family val="3"/>
        <charset val="129"/>
        <scheme val="minor"/>
      </rPr>
      <t>동</t>
    </r>
  </si>
  <si>
    <t>골재치장</t>
  </si>
  <si>
    <r>
      <t>4</t>
    </r>
    <r>
      <rPr>
        <sz val="10"/>
        <color rgb="FF000000"/>
        <rFont val="맑은 고딕"/>
        <family val="3"/>
        <charset val="129"/>
        <scheme val="minor"/>
      </rPr>
      <t>동</t>
    </r>
  </si>
  <si>
    <r>
      <t>5</t>
    </r>
    <r>
      <rPr>
        <sz val="10"/>
        <color rgb="FF000000"/>
        <rFont val="맑은 고딕"/>
        <family val="3"/>
        <charset val="129"/>
        <scheme val="minor"/>
      </rPr>
      <t>동</t>
    </r>
  </si>
  <si>
    <t>밴처플랜트</t>
  </si>
  <si>
    <t>공장</t>
  </si>
  <si>
    <r>
      <t>(</t>
    </r>
    <r>
      <rPr>
        <sz val="10"/>
        <color rgb="FF000000"/>
        <rFont val="맑은 고딕"/>
        <family val="3"/>
        <charset val="129"/>
        <scheme val="minor"/>
      </rPr>
      <t>기계설비</t>
    </r>
    <r>
      <rPr>
        <sz val="10"/>
        <color rgb="FF000000"/>
        <rFont val="나눔고딕"/>
        <family val="3"/>
        <charset val="129"/>
      </rPr>
      <t>)</t>
    </r>
  </si>
  <si>
    <t>호퍼</t>
  </si>
  <si>
    <t xml:space="preserve"> </t>
    <phoneticPr fontId="1" type="noConversion"/>
  </si>
  <si>
    <t>배수유역3</t>
    <phoneticPr fontId="1" type="noConversion"/>
  </si>
  <si>
    <t>강우강도식</t>
  </si>
  <si>
    <r>
      <t>6</t>
    </r>
    <r>
      <rPr>
        <sz val="10"/>
        <color rgb="FF000000"/>
        <rFont val="맑은 고딕"/>
        <family val="3"/>
        <charset val="129"/>
        <scheme val="minor"/>
      </rPr>
      <t>차 다항식</t>
    </r>
  </si>
  <si>
    <r>
      <t>여기서</t>
    </r>
    <r>
      <rPr>
        <sz val="10"/>
        <color rgb="FF000000"/>
        <rFont val="나눔고딕"/>
        <family val="3"/>
        <charset val="129"/>
      </rPr>
      <t xml:space="preserve">, </t>
    </r>
  </si>
  <si>
    <t>I</t>
  </si>
  <si>
    <t>:</t>
  </si>
  <si>
    <r>
      <t>강우강도</t>
    </r>
    <r>
      <rPr>
        <sz val="10"/>
        <color rgb="FF000000"/>
        <rFont val="나눔고딕"/>
        <family val="3"/>
        <charset val="129"/>
      </rPr>
      <t>(mm/hr)</t>
    </r>
  </si>
  <si>
    <t>t</t>
  </si>
  <si>
    <r>
      <t>유입시간</t>
    </r>
    <r>
      <rPr>
        <sz val="10"/>
        <color rgb="FF000000"/>
        <rFont val="나눔고딕"/>
        <family val="3"/>
        <charset val="129"/>
      </rPr>
      <t>(hr)</t>
    </r>
  </si>
  <si>
    <t>ln</t>
  </si>
  <si>
    <t>자연대수</t>
  </si>
  <si>
    <t>a,b,c,d,e,f,g</t>
  </si>
  <si>
    <r>
      <t>6</t>
    </r>
    <r>
      <rPr>
        <sz val="10"/>
        <color rgb="FF000000"/>
        <rFont val="맑은 고딕"/>
        <family val="3"/>
        <charset val="129"/>
        <scheme val="minor"/>
      </rPr>
      <t>차다항식의 계수값</t>
    </r>
  </si>
  <si>
    <t>재현기간</t>
  </si>
  <si>
    <r>
      <t>(</t>
    </r>
    <r>
      <rPr>
        <sz val="10"/>
        <color rgb="FF000000"/>
        <rFont val="맑은 고딕"/>
        <family val="3"/>
        <charset val="129"/>
        <scheme val="minor"/>
      </rPr>
      <t>년</t>
    </r>
    <r>
      <rPr>
        <sz val="10"/>
        <color rgb="FF000000"/>
        <rFont val="나눔고딕"/>
        <family val="3"/>
        <charset val="129"/>
      </rPr>
      <t>)</t>
    </r>
  </si>
  <si>
    <t>Parameter</t>
  </si>
  <si>
    <t>a</t>
  </si>
  <si>
    <t>b</t>
  </si>
  <si>
    <t>c</t>
  </si>
  <si>
    <t>d</t>
  </si>
  <si>
    <t>e</t>
  </si>
  <si>
    <t>f</t>
  </si>
  <si>
    <t>g</t>
  </si>
  <si>
    <t>ln(t)</t>
    <phoneticPr fontId="1" type="noConversion"/>
  </si>
  <si>
    <t>t</t>
    <phoneticPr fontId="1" type="noConversion"/>
  </si>
  <si>
    <t>10min</t>
    <phoneticPr fontId="1" type="noConversion"/>
  </si>
  <si>
    <t>ln(I)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</si>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</sst>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000_ "/>
    <numFmt numFmtId="177" formatCode="0.00_ "/>
    <numFmt numFmtId="178" formatCode="0.0_ "/>
    <numFmt numFmtId="179" formatCode="0_ "/>
    <numFmt numFmtId="180" formatCode="0.0000"/>
    <numFmt numFmtId="181" formatCode="#,##0.0000"/>
    <numFmt numFmtId="182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나눔고딕"/>
      <family val="3"/>
      <charset val="129"/>
    </font>
    <font>
      <vertAlign val="subscript"/>
      <sz val="10"/>
      <color rgb="FF000000"/>
      <name val="나눔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FF0000"/>
      <name val="나눔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E5E5E5"/>
        <bgColor indexed="64"/>
      </patternFill>
    </fill>
  </fills>
  <borders count="79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double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200">
    <xf numFmtId="0" fontId="0" fillId="0" borderId="0" xfId="0">
      <alignment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176" fontId="4" fillId="6" borderId="9" xfId="0" applyNumberFormat="1" applyFont="1" applyFill="1" applyBorder="1" applyAlignment="1">
      <alignment horizontal="center" vertical="center" wrapText="1"/>
    </xf>
    <xf numFmtId="4" fontId="4" fillId="6" borderId="9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77" fontId="4" fillId="6" borderId="9" xfId="0" applyNumberFormat="1" applyFont="1" applyFill="1" applyBorder="1" applyAlignment="1">
      <alignment horizontal="center" vertical="center" wrapText="1"/>
    </xf>
    <xf numFmtId="4" fontId="4" fillId="6" borderId="7" xfId="0" applyNumberFormat="1" applyFont="1" applyFill="1" applyBorder="1" applyAlignment="1">
      <alignment horizontal="center" vertical="center" wrapText="1"/>
    </xf>
    <xf numFmtId="176" fontId="4" fillId="6" borderId="7" xfId="0" applyNumberFormat="1" applyFont="1" applyFill="1" applyBorder="1" applyAlignment="1">
      <alignment horizontal="center" vertical="center" wrapText="1"/>
    </xf>
    <xf numFmtId="176" fontId="3" fillId="6" borderId="9" xfId="0" applyNumberFormat="1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179" fontId="4" fillId="6" borderId="9" xfId="0" applyNumberFormat="1" applyFont="1" applyFill="1" applyBorder="1" applyAlignment="1">
      <alignment horizontal="center" vertical="center" wrapText="1"/>
    </xf>
    <xf numFmtId="4" fontId="4" fillId="6" borderId="15" xfId="0" applyNumberFormat="1" applyFont="1" applyFill="1" applyBorder="1" applyAlignment="1">
      <alignment horizontal="center" vertical="center" wrapText="1"/>
    </xf>
    <xf numFmtId="178" fontId="4" fillId="6" borderId="9" xfId="0" applyNumberFormat="1" applyFont="1" applyFill="1" applyBorder="1" applyAlignment="1">
      <alignment horizontal="center" vertical="center" wrapText="1"/>
    </xf>
    <xf numFmtId="179" fontId="0" fillId="0" borderId="23" xfId="0" applyNumberForma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 wrapText="1"/>
    </xf>
    <xf numFmtId="179" fontId="0" fillId="0" borderId="25" xfId="0" applyNumberForma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29" xfId="0" applyBorder="1" applyAlignment="1">
      <alignment horizontal="center" vertical="center" wrapText="1"/>
    </xf>
    <xf numFmtId="179" fontId="0" fillId="6" borderId="26" xfId="0" applyNumberFormat="1" applyFont="1" applyFill="1" applyBorder="1" applyAlignment="1">
      <alignment horizontal="center" vertical="center"/>
    </xf>
    <xf numFmtId="177" fontId="8" fillId="6" borderId="28" xfId="0" applyNumberFormat="1" applyFont="1" applyFill="1" applyBorder="1" applyAlignment="1">
      <alignment horizontal="center" vertical="center"/>
    </xf>
    <xf numFmtId="179" fontId="0" fillId="6" borderId="34" xfId="0" applyNumberFormat="1" applyFill="1" applyBorder="1">
      <alignment vertical="center"/>
    </xf>
    <xf numFmtId="179" fontId="0" fillId="6" borderId="31" xfId="0" applyNumberFormat="1" applyFill="1" applyBorder="1">
      <alignment vertical="center"/>
    </xf>
    <xf numFmtId="0" fontId="0" fillId="6" borderId="0" xfId="0" applyFill="1" applyAlignment="1">
      <alignment horizontal="center" vertical="center"/>
    </xf>
    <xf numFmtId="176" fontId="0" fillId="6" borderId="34" xfId="0" applyNumberFormat="1" applyFill="1" applyBorder="1">
      <alignment vertical="center"/>
    </xf>
    <xf numFmtId="176" fontId="0" fillId="6" borderId="31" xfId="0" applyNumberFormat="1" applyFill="1" applyBorder="1">
      <alignment vertical="center"/>
    </xf>
    <xf numFmtId="179" fontId="0" fillId="6" borderId="26" xfId="0" applyNumberFormat="1" applyFill="1" applyBorder="1" applyAlignment="1">
      <alignment horizontal="center" vertical="center"/>
    </xf>
    <xf numFmtId="179" fontId="8" fillId="8" borderId="27" xfId="0" applyNumberFormat="1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6" fontId="8" fillId="6" borderId="27" xfId="0" applyNumberFormat="1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 wrapText="1"/>
    </xf>
    <xf numFmtId="176" fontId="3" fillId="6" borderId="20" xfId="0" applyNumberFormat="1" applyFont="1" applyFill="1" applyBorder="1" applyAlignment="1">
      <alignment horizontal="center" vertical="center" wrapText="1"/>
    </xf>
    <xf numFmtId="177" fontId="4" fillId="6" borderId="7" xfId="0" applyNumberFormat="1" applyFont="1" applyFill="1" applyBorder="1" applyAlignment="1">
      <alignment horizontal="center" vertical="center" wrapText="1"/>
    </xf>
    <xf numFmtId="177" fontId="3" fillId="6" borderId="20" xfId="0" applyNumberFormat="1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41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8" borderId="45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8" borderId="47" xfId="0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176" fontId="3" fillId="6" borderId="49" xfId="0" applyNumberFormat="1" applyFont="1" applyFill="1" applyBorder="1" applyAlignment="1">
      <alignment horizontal="center" vertical="center" wrapText="1"/>
    </xf>
    <xf numFmtId="177" fontId="3" fillId="6" borderId="49" xfId="0" applyNumberFormat="1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177" fontId="4" fillId="7" borderId="9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4" fillId="3" borderId="9" xfId="0" applyFont="1" applyFill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4" fillId="3" borderId="15" xfId="0" applyFont="1" applyFill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59" xfId="0" applyNumberFormat="1" applyFont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8" borderId="60" xfId="0" applyFont="1" applyFill="1" applyBorder="1" applyAlignment="1">
      <alignment horizontal="center" vertical="center" wrapText="1"/>
    </xf>
    <xf numFmtId="0" fontId="3" fillId="8" borderId="6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74" xfId="0" applyFont="1" applyBorder="1" applyAlignment="1">
      <alignment horizontal="justify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justify" vertical="center" wrapText="1"/>
    </xf>
    <xf numFmtId="0" fontId="3" fillId="0" borderId="75" xfId="0" applyFont="1" applyBorder="1" applyAlignment="1">
      <alignment horizontal="justify" vertical="center" wrapText="1"/>
    </xf>
    <xf numFmtId="0" fontId="4" fillId="0" borderId="76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7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181" fontId="4" fillId="0" borderId="9" xfId="0" applyNumberFormat="1" applyFont="1" applyBorder="1" applyAlignment="1">
      <alignment horizontal="center" vertical="center" wrapText="1"/>
    </xf>
    <xf numFmtId="181" fontId="4" fillId="0" borderId="15" xfId="0" applyNumberFormat="1" applyFont="1" applyBorder="1" applyAlignment="1">
      <alignment horizontal="center" vertical="center" wrapText="1"/>
    </xf>
    <xf numFmtId="182" fontId="0" fillId="6" borderId="29" xfId="0" applyNumberFormat="1" applyFill="1" applyBorder="1" applyAlignment="1">
      <alignment horizontal="center" vertical="center"/>
    </xf>
    <xf numFmtId="182" fontId="0" fillId="6" borderId="0" xfId="0" applyNumberFormat="1" applyFill="1" applyAlignment="1">
      <alignment horizontal="center" vertical="center"/>
    </xf>
    <xf numFmtId="178" fontId="0" fillId="6" borderId="34" xfId="0" applyNumberFormat="1" applyFill="1" applyBorder="1">
      <alignment vertical="center"/>
    </xf>
    <xf numFmtId="182" fontId="9" fillId="0" borderId="15" xfId="0" applyNumberFormat="1" applyFont="1" applyBorder="1" applyAlignment="1">
      <alignment horizontal="center" vertical="center" wrapText="1"/>
    </xf>
    <xf numFmtId="182" fontId="9" fillId="0" borderId="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54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vertical="center" wrapText="1"/>
    </xf>
    <xf numFmtId="0" fontId="3" fillId="0" borderId="70" xfId="0" applyFont="1" applyBorder="1" applyAlignment="1">
      <alignment vertical="center" wrapText="1"/>
    </xf>
    <xf numFmtId="0" fontId="3" fillId="0" borderId="71" xfId="0" applyFont="1" applyBorder="1" applyAlignment="1">
      <alignment vertical="center" wrapText="1"/>
    </xf>
    <xf numFmtId="0" fontId="3" fillId="0" borderId="73" xfId="0" applyFont="1" applyBorder="1" applyAlignment="1">
      <alignment horizontal="justify" vertical="center" wrapText="1"/>
    </xf>
    <xf numFmtId="0" fontId="3" fillId="0" borderId="7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19</xdr:col>
      <xdr:colOff>333375</xdr:colOff>
      <xdr:row>3</xdr:row>
      <xdr:rowOff>171450</xdr:rowOff>
    </xdr:to>
    <xdr:pic>
      <xdr:nvPicPr>
        <xdr:cNvPr id="2" name="_x662014040" descr="DRW00000238077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657225"/>
          <a:ext cx="44481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83"/>
  <sheetViews>
    <sheetView tabSelected="1" topLeftCell="A31" workbookViewId="0">
      <selection activeCell="C67" sqref="C67:H67"/>
    </sheetView>
  </sheetViews>
  <sheetFormatPr defaultRowHeight="16.5" x14ac:dyDescent="0.3"/>
  <cols>
    <col min="3" max="3" width="10.5" bestFit="1" customWidth="1"/>
    <col min="5" max="5" width="13.875" bestFit="1" customWidth="1"/>
    <col min="6" max="6" width="12.75" bestFit="1" customWidth="1"/>
    <col min="7" max="9" width="12.25" bestFit="1" customWidth="1"/>
    <col min="10" max="10" width="11.625" customWidth="1"/>
    <col min="11" max="11" width="12.125" customWidth="1"/>
  </cols>
  <sheetData>
    <row r="2" spans="2:23" ht="17.25" thickBot="1" x14ac:dyDescent="0.35">
      <c r="B2" t="s">
        <v>0</v>
      </c>
    </row>
    <row r="3" spans="2:23" ht="18" thickTop="1" thickBot="1" x14ac:dyDescent="0.35">
      <c r="B3" s="152" t="s">
        <v>1</v>
      </c>
      <c r="C3" s="165" t="s">
        <v>2</v>
      </c>
      <c r="D3" s="166"/>
      <c r="E3" s="152" t="s">
        <v>3</v>
      </c>
      <c r="M3" s="123" t="s">
        <v>1</v>
      </c>
      <c r="N3" s="184" t="s">
        <v>131</v>
      </c>
      <c r="O3" s="185"/>
      <c r="P3" s="185"/>
      <c r="Q3" s="185"/>
      <c r="R3" s="185"/>
      <c r="S3" s="185"/>
      <c r="T3" s="186"/>
    </row>
    <row r="4" spans="2:23" ht="18" thickTop="1" thickBot="1" x14ac:dyDescent="0.35">
      <c r="B4" s="154"/>
      <c r="C4" s="1" t="s">
        <v>4</v>
      </c>
      <c r="D4" s="2" t="s">
        <v>5</v>
      </c>
      <c r="E4" s="154"/>
      <c r="H4" s="28"/>
      <c r="I4" t="s">
        <v>21</v>
      </c>
      <c r="M4" s="187" t="s">
        <v>132</v>
      </c>
      <c r="N4" s="190"/>
      <c r="O4" s="191"/>
      <c r="P4" s="191"/>
      <c r="Q4" s="191"/>
      <c r="R4" s="191"/>
      <c r="S4" s="191"/>
      <c r="T4" s="192"/>
    </row>
    <row r="5" spans="2:23" ht="27" thickTop="1" x14ac:dyDescent="0.3">
      <c r="B5" s="6" t="s">
        <v>6</v>
      </c>
      <c r="C5" s="106">
        <v>16576</v>
      </c>
      <c r="D5" s="13">
        <f>SUM(C5/10000)</f>
        <v>1.6576</v>
      </c>
      <c r="E5" s="7"/>
      <c r="H5" s="29"/>
      <c r="I5" t="s">
        <v>20</v>
      </c>
      <c r="M5" s="188"/>
      <c r="N5" s="193" t="s">
        <v>133</v>
      </c>
      <c r="O5" s="124" t="s">
        <v>134</v>
      </c>
      <c r="P5" s="126" t="s">
        <v>135</v>
      </c>
      <c r="Q5" s="125" t="s">
        <v>136</v>
      </c>
      <c r="R5" s="124" t="s">
        <v>137</v>
      </c>
      <c r="S5" s="126" t="s">
        <v>135</v>
      </c>
      <c r="T5" s="127" t="s">
        <v>138</v>
      </c>
    </row>
    <row r="6" spans="2:23" ht="27.75" thickBot="1" x14ac:dyDescent="0.35">
      <c r="B6" s="8" t="s">
        <v>7</v>
      </c>
      <c r="C6" s="122">
        <v>0</v>
      </c>
      <c r="D6" s="13">
        <v>0</v>
      </c>
      <c r="E6" s="10"/>
      <c r="H6" s="30"/>
      <c r="I6" t="s">
        <v>19</v>
      </c>
      <c r="M6" s="189"/>
      <c r="N6" s="194"/>
      <c r="O6" s="128" t="s">
        <v>139</v>
      </c>
      <c r="P6" s="129" t="s">
        <v>135</v>
      </c>
      <c r="Q6" s="130" t="s">
        <v>140</v>
      </c>
      <c r="R6" s="128" t="s">
        <v>141</v>
      </c>
      <c r="S6" s="129" t="s">
        <v>135</v>
      </c>
      <c r="T6" s="131" t="s">
        <v>142</v>
      </c>
    </row>
    <row r="7" spans="2:23" ht="17.25" thickTop="1" x14ac:dyDescent="0.3">
      <c r="B7" s="8" t="s">
        <v>130</v>
      </c>
      <c r="C7" s="110">
        <v>0</v>
      </c>
      <c r="D7" s="111"/>
      <c r="E7" s="112"/>
      <c r="H7" s="30"/>
    </row>
    <row r="8" spans="2:23" ht="17.25" thickBot="1" x14ac:dyDescent="0.35">
      <c r="B8" s="94"/>
      <c r="C8">
        <v>0</v>
      </c>
    </row>
    <row r="9" spans="2:23" ht="17.25" thickTop="1" x14ac:dyDescent="0.3">
      <c r="M9" s="121" t="s">
        <v>143</v>
      </c>
      <c r="N9" s="195" t="s">
        <v>145</v>
      </c>
      <c r="O9" s="196"/>
      <c r="P9" s="196"/>
      <c r="Q9" s="196"/>
      <c r="R9" s="196"/>
      <c r="S9" s="196"/>
      <c r="T9" s="197"/>
    </row>
    <row r="10" spans="2:23" ht="17.25" thickBot="1" x14ac:dyDescent="0.35">
      <c r="B10" t="s">
        <v>9</v>
      </c>
      <c r="M10" s="132" t="s">
        <v>144</v>
      </c>
      <c r="N10" s="2" t="s">
        <v>146</v>
      </c>
      <c r="O10" s="2" t="s">
        <v>147</v>
      </c>
      <c r="P10" s="2" t="s">
        <v>148</v>
      </c>
      <c r="Q10" s="2" t="s">
        <v>149</v>
      </c>
      <c r="R10" s="2" t="s">
        <v>150</v>
      </c>
      <c r="S10" s="2" t="s">
        <v>151</v>
      </c>
      <c r="T10" s="133" t="s">
        <v>152</v>
      </c>
      <c r="U10" s="136" t="s">
        <v>154</v>
      </c>
      <c r="V10" s="137" t="s">
        <v>155</v>
      </c>
      <c r="W10" s="138">
        <f>10/60</f>
        <v>0.16666666666666666</v>
      </c>
    </row>
    <row r="11" spans="2:23" ht="18" thickTop="1" thickBot="1" x14ac:dyDescent="0.35">
      <c r="B11" s="152" t="s">
        <v>1</v>
      </c>
      <c r="C11" s="5" t="s">
        <v>10</v>
      </c>
      <c r="D11" s="167" t="s">
        <v>12</v>
      </c>
      <c r="E11" s="5" t="s">
        <v>13</v>
      </c>
      <c r="F11" s="171" t="s">
        <v>8</v>
      </c>
      <c r="G11" s="172"/>
      <c r="H11" s="152" t="s">
        <v>3</v>
      </c>
      <c r="M11" s="134">
        <v>50</v>
      </c>
      <c r="N11" s="21">
        <v>4.3899999999999997</v>
      </c>
      <c r="O11" s="21">
        <v>-0.48</v>
      </c>
      <c r="P11" s="21">
        <v>4.7239999999999997E-2</v>
      </c>
      <c r="Q11" s="21">
        <v>-3.2259999999999997E-2</v>
      </c>
      <c r="R11" s="21">
        <v>1.3799999999999999E-3</v>
      </c>
      <c r="S11" s="21">
        <v>1.64E-3</v>
      </c>
      <c r="T11" s="135">
        <v>-2.5999999999999999E-3</v>
      </c>
    </row>
    <row r="12" spans="2:23" ht="18" thickTop="1" thickBot="1" x14ac:dyDescent="0.35">
      <c r="B12" s="154"/>
      <c r="C12" s="15" t="s">
        <v>11</v>
      </c>
      <c r="D12" s="168"/>
      <c r="E12" s="15" t="s">
        <v>14</v>
      </c>
      <c r="F12" s="16" t="s">
        <v>15</v>
      </c>
      <c r="G12" s="16" t="s">
        <v>16</v>
      </c>
      <c r="H12" s="154"/>
    </row>
    <row r="13" spans="2:23" ht="18" thickTop="1" thickBot="1" x14ac:dyDescent="0.35">
      <c r="B13" s="6" t="s">
        <v>6</v>
      </c>
      <c r="C13" s="26">
        <f>D5</f>
        <v>1.6576</v>
      </c>
      <c r="D13" s="17">
        <v>0.63</v>
      </c>
      <c r="E13" s="109">
        <v>174.2</v>
      </c>
      <c r="F13" s="31">
        <f>ROUND(C13*D13*E13/360,4)</f>
        <v>0.50529999999999997</v>
      </c>
      <c r="G13" s="32">
        <f>ROUND(F13*24*60*60,2)</f>
        <v>43657.919999999998</v>
      </c>
      <c r="H13" s="6"/>
    </row>
    <row r="14" spans="2:23" ht="18" thickTop="1" thickBot="1" x14ac:dyDescent="0.35">
      <c r="B14" s="8" t="s">
        <v>7</v>
      </c>
      <c r="C14" s="27">
        <f>D6</f>
        <v>0</v>
      </c>
      <c r="D14" s="19">
        <f>D13</f>
        <v>0.63</v>
      </c>
      <c r="E14" s="25">
        <f>E13</f>
        <v>174.2</v>
      </c>
      <c r="F14" s="31">
        <f>C14*D14*E14/360</f>
        <v>0</v>
      </c>
      <c r="G14" s="32">
        <f>F14*24*60*60</f>
        <v>0</v>
      </c>
      <c r="H14" s="1"/>
      <c r="M14" t="s">
        <v>156</v>
      </c>
      <c r="N14">
        <f>N11+O11*N15+P11*N15^2+Q11*N15^3+R11*N15^4+S11*N15^5+T11*N15^6</f>
        <v>5.4851789618643148</v>
      </c>
    </row>
    <row r="15" spans="2:23" ht="18" thickTop="1" thickBot="1" x14ac:dyDescent="0.35">
      <c r="B15" s="8" t="s">
        <v>130</v>
      </c>
      <c r="C15" s="27">
        <f>D7</f>
        <v>0</v>
      </c>
      <c r="D15" s="19">
        <f>D13</f>
        <v>0.63</v>
      </c>
      <c r="E15" s="25">
        <f>E13</f>
        <v>174.2</v>
      </c>
      <c r="F15" s="31">
        <f>C15*D15*E15/360</f>
        <v>0</v>
      </c>
      <c r="G15" s="32">
        <f>F15*24*60*60</f>
        <v>0</v>
      </c>
      <c r="H15" s="105"/>
      <c r="M15" t="s">
        <v>153</v>
      </c>
      <c r="N15">
        <f>LN(W10)</f>
        <v>-1.791759469228055</v>
      </c>
    </row>
    <row r="16" spans="2:23" ht="17.25" thickTop="1" x14ac:dyDescent="0.3">
      <c r="B16" s="6" t="s">
        <v>17</v>
      </c>
      <c r="C16" s="44">
        <f>SUM(C13:C14)</f>
        <v>1.6576</v>
      </c>
      <c r="D16" s="17" t="s">
        <v>18</v>
      </c>
      <c r="E16" s="4" t="s">
        <v>18</v>
      </c>
      <c r="F16" s="43">
        <f>SUM(F13:F15)</f>
        <v>0.50529999999999997</v>
      </c>
      <c r="G16" s="43">
        <f>SUM(G13:G15)</f>
        <v>43657.919999999998</v>
      </c>
      <c r="H16" s="6"/>
    </row>
    <row r="17" spans="2:15" x14ac:dyDescent="0.3">
      <c r="M17" t="s">
        <v>157</v>
      </c>
      <c r="N17">
        <f>EXP(N14)</f>
        <v>241.09208642674596</v>
      </c>
    </row>
    <row r="18" spans="2:15" x14ac:dyDescent="0.3">
      <c r="B18" s="33" t="s">
        <v>23</v>
      </c>
      <c r="N18">
        <v>241.1</v>
      </c>
    </row>
    <row r="19" spans="2:15" ht="27" x14ac:dyDescent="0.3">
      <c r="B19" s="152" t="s">
        <v>1</v>
      </c>
      <c r="C19" s="5" t="s">
        <v>10</v>
      </c>
      <c r="D19" s="5" t="s">
        <v>24</v>
      </c>
      <c r="E19" s="5" t="s">
        <v>26</v>
      </c>
      <c r="F19" s="5" t="s">
        <v>28</v>
      </c>
      <c r="G19" s="23" t="s">
        <v>22</v>
      </c>
    </row>
    <row r="20" spans="2:15" ht="17.25" thickBot="1" x14ac:dyDescent="0.35">
      <c r="B20" s="154"/>
      <c r="C20" s="15" t="s">
        <v>11</v>
      </c>
      <c r="D20" s="15" t="s">
        <v>25</v>
      </c>
      <c r="E20" s="15" t="s">
        <v>27</v>
      </c>
      <c r="F20" s="15" t="s">
        <v>29</v>
      </c>
      <c r="G20" s="34" t="s">
        <v>30</v>
      </c>
    </row>
    <row r="21" spans="2:15" ht="18" thickTop="1" thickBot="1" x14ac:dyDescent="0.35">
      <c r="B21" s="6" t="s">
        <v>6</v>
      </c>
      <c r="C21" s="26">
        <f>D5</f>
        <v>1.6576</v>
      </c>
      <c r="D21" s="4">
        <v>300</v>
      </c>
      <c r="E21" s="4">
        <v>2.65</v>
      </c>
      <c r="F21" s="24">
        <v>105</v>
      </c>
      <c r="G21" s="31">
        <f>ROUND((C21*D21*E21)/F21,4)</f>
        <v>12.5504</v>
      </c>
    </row>
    <row r="22" spans="2:15" ht="18" thickTop="1" thickBot="1" x14ac:dyDescent="0.35">
      <c r="B22" s="1" t="s">
        <v>7</v>
      </c>
      <c r="C22" s="27">
        <f>D6</f>
        <v>0</v>
      </c>
      <c r="D22" s="2">
        <f>D21</f>
        <v>300</v>
      </c>
      <c r="E22" s="2">
        <f>E21</f>
        <v>2.65</v>
      </c>
      <c r="F22" s="25">
        <f>F21</f>
        <v>105</v>
      </c>
      <c r="G22" s="31">
        <f>(C22*D22*E22)/F22</f>
        <v>0</v>
      </c>
    </row>
    <row r="23" spans="2:15" ht="18" thickTop="1" thickBot="1" x14ac:dyDescent="0.35">
      <c r="B23" s="8" t="s">
        <v>130</v>
      </c>
      <c r="C23" s="113">
        <f>C15</f>
        <v>0</v>
      </c>
      <c r="D23" s="95">
        <f>D21</f>
        <v>300</v>
      </c>
      <c r="E23" s="95">
        <f>E21</f>
        <v>2.65</v>
      </c>
      <c r="F23" s="114">
        <f>F21</f>
        <v>105</v>
      </c>
      <c r="G23" s="31">
        <f>(C23*D23*E23)/F23</f>
        <v>0</v>
      </c>
    </row>
    <row r="24" spans="2:15" ht="17.25" thickTop="1" x14ac:dyDescent="0.3">
      <c r="B24" s="6" t="s">
        <v>31</v>
      </c>
      <c r="C24" s="44">
        <f>C16</f>
        <v>1.6576</v>
      </c>
      <c r="D24" s="4" t="s">
        <v>18</v>
      </c>
      <c r="E24" s="4" t="s">
        <v>18</v>
      </c>
      <c r="F24" s="4" t="s">
        <v>18</v>
      </c>
      <c r="G24" s="43">
        <f>SUM(G21:G23)</f>
        <v>12.5504</v>
      </c>
    </row>
    <row r="25" spans="2:15" ht="17.25" x14ac:dyDescent="0.3">
      <c r="B25" s="35"/>
    </row>
    <row r="26" spans="2:15" ht="21.75" customHeight="1" x14ac:dyDescent="0.3">
      <c r="B26" s="169" t="s">
        <v>32</v>
      </c>
      <c r="C26" s="169"/>
      <c r="D26" s="169"/>
      <c r="E26" s="169"/>
    </row>
    <row r="27" spans="2:15" x14ac:dyDescent="0.3">
      <c r="B27" s="152" t="s">
        <v>1</v>
      </c>
      <c r="C27" s="5" t="s">
        <v>8</v>
      </c>
      <c r="D27" s="5" t="s">
        <v>22</v>
      </c>
      <c r="E27" s="23" t="s">
        <v>33</v>
      </c>
      <c r="F27" s="152" t="s">
        <v>3</v>
      </c>
    </row>
    <row r="28" spans="2:15" ht="17.25" thickBot="1" x14ac:dyDescent="0.35">
      <c r="B28" s="154"/>
      <c r="C28" s="15" t="s">
        <v>16</v>
      </c>
      <c r="D28" s="15" t="s">
        <v>30</v>
      </c>
      <c r="E28" s="34" t="s">
        <v>34</v>
      </c>
      <c r="F28" s="154"/>
    </row>
    <row r="29" spans="2:15" ht="18" thickTop="1" thickBot="1" x14ac:dyDescent="0.35">
      <c r="B29" s="6" t="s">
        <v>6</v>
      </c>
      <c r="C29" s="32">
        <f>G13</f>
        <v>43657.919999999998</v>
      </c>
      <c r="D29" s="31">
        <f>G21</f>
        <v>12.5504</v>
      </c>
      <c r="E29" s="40">
        <f>ROUND(D29/C29*1000000,2)</f>
        <v>287.47000000000003</v>
      </c>
      <c r="F29" s="6"/>
      <c r="N29">
        <v>54.845999999999997</v>
      </c>
    </row>
    <row r="30" spans="2:15" ht="18" thickTop="1" thickBot="1" x14ac:dyDescent="0.35">
      <c r="B30" s="1" t="s">
        <v>7</v>
      </c>
      <c r="C30" s="41">
        <f>G14</f>
        <v>0</v>
      </c>
      <c r="D30" s="42">
        <f>G22</f>
        <v>0</v>
      </c>
      <c r="E30" s="40" t="e">
        <f>D30/C30*1000000</f>
        <v>#DIV/0!</v>
      </c>
      <c r="F30" s="1"/>
      <c r="N30">
        <f>N29/(0.006+(1-0.006)*0.88)</f>
        <v>62.274048505768</v>
      </c>
      <c r="O30">
        <v>62.27</v>
      </c>
    </row>
    <row r="31" spans="2:15" ht="18" thickTop="1" thickBot="1" x14ac:dyDescent="0.35">
      <c r="B31" s="8" t="s">
        <v>130</v>
      </c>
      <c r="C31" s="41">
        <f>G15</f>
        <v>0</v>
      </c>
      <c r="D31" s="42">
        <f>G23</f>
        <v>0</v>
      </c>
      <c r="E31" s="40" t="e">
        <f>D31/C31*1000000</f>
        <v>#DIV/0!</v>
      </c>
      <c r="F31" s="105"/>
      <c r="O31">
        <f>O30*0.006+(O30-O30*0.006)*0.88</f>
        <v>54.842434400000002</v>
      </c>
    </row>
    <row r="32" spans="2:15" ht="17.25" thickTop="1" x14ac:dyDescent="0.3">
      <c r="B32" s="6" t="s">
        <v>35</v>
      </c>
      <c r="C32" s="32">
        <f>SUM(C29:C31)</f>
        <v>43657.919999999998</v>
      </c>
      <c r="D32" s="31">
        <f>SUM(D29:D31)</f>
        <v>12.5504</v>
      </c>
      <c r="E32" s="40" t="e">
        <f>AVERAGE(E29:E31)</f>
        <v>#DIV/0!</v>
      </c>
      <c r="F32" s="6"/>
      <c r="I32" t="s">
        <v>129</v>
      </c>
    </row>
    <row r="34" spans="2:18" ht="18" customHeight="1" x14ac:dyDescent="0.3">
      <c r="B34" s="170" t="s">
        <v>36</v>
      </c>
      <c r="C34" s="170"/>
      <c r="D34" s="170"/>
      <c r="E34" s="170"/>
    </row>
    <row r="35" spans="2:18" x14ac:dyDescent="0.3">
      <c r="B35" s="152" t="s">
        <v>1</v>
      </c>
      <c r="C35" s="165" t="s">
        <v>37</v>
      </c>
      <c r="D35" s="166"/>
      <c r="E35" s="165" t="s">
        <v>38</v>
      </c>
      <c r="F35" s="166"/>
      <c r="G35" s="171" t="s">
        <v>39</v>
      </c>
      <c r="H35" s="172"/>
    </row>
    <row r="36" spans="2:18" x14ac:dyDescent="0.3">
      <c r="B36" s="159"/>
      <c r="C36" s="5" t="s">
        <v>40</v>
      </c>
      <c r="D36" s="5" t="s">
        <v>42</v>
      </c>
      <c r="E36" s="5" t="s">
        <v>40</v>
      </c>
      <c r="F36" s="5" t="s">
        <v>42</v>
      </c>
      <c r="G36" s="37" t="s">
        <v>40</v>
      </c>
      <c r="H36" s="37" t="s">
        <v>42</v>
      </c>
    </row>
    <row r="37" spans="2:18" ht="17.25" thickBot="1" x14ac:dyDescent="0.35">
      <c r="B37" s="154"/>
      <c r="C37" s="15" t="s">
        <v>41</v>
      </c>
      <c r="D37" s="15" t="s">
        <v>43</v>
      </c>
      <c r="E37" s="15" t="s">
        <v>44</v>
      </c>
      <c r="F37" s="15" t="s">
        <v>45</v>
      </c>
      <c r="G37" s="38" t="s">
        <v>46</v>
      </c>
      <c r="H37" s="38" t="s">
        <v>47</v>
      </c>
    </row>
    <row r="38" spans="2:18" ht="17.25" thickTop="1" x14ac:dyDescent="0.3">
      <c r="B38" s="4" t="s">
        <v>48</v>
      </c>
      <c r="C38" s="109">
        <v>1.2</v>
      </c>
      <c r="D38" s="109">
        <v>7.4</v>
      </c>
      <c r="E38" s="31">
        <f>F16</f>
        <v>0.50529999999999997</v>
      </c>
      <c r="F38" s="40">
        <f>E29</f>
        <v>287.47000000000003</v>
      </c>
      <c r="G38" s="31">
        <f>ROUND(C38+E38,4)</f>
        <v>1.7053</v>
      </c>
      <c r="H38" s="40">
        <f>ROUND(((C38*D38)+(E38*F38))/G38,2)</f>
        <v>90.39</v>
      </c>
    </row>
    <row r="40" spans="2:18" x14ac:dyDescent="0.3">
      <c r="B40" t="s">
        <v>49</v>
      </c>
      <c r="R40" s="109"/>
    </row>
    <row r="41" spans="2:18" x14ac:dyDescent="0.3">
      <c r="B41" s="152" t="s">
        <v>50</v>
      </c>
      <c r="C41" s="5" t="s">
        <v>8</v>
      </c>
      <c r="D41" s="5" t="s">
        <v>51</v>
      </c>
      <c r="E41" s="5" t="s">
        <v>53</v>
      </c>
      <c r="F41" s="5" t="s">
        <v>55</v>
      </c>
      <c r="G41" s="5" t="s">
        <v>57</v>
      </c>
      <c r="H41" s="5" t="s">
        <v>59</v>
      </c>
      <c r="I41" s="47" t="s">
        <v>53</v>
      </c>
      <c r="J41" s="152" t="s">
        <v>62</v>
      </c>
    </row>
    <row r="42" spans="2:18" ht="17.25" thickBot="1" x14ac:dyDescent="0.35">
      <c r="B42" s="154"/>
      <c r="C42" s="15" t="s">
        <v>16</v>
      </c>
      <c r="D42" s="15" t="s">
        <v>52</v>
      </c>
      <c r="E42" s="45" t="s">
        <v>54</v>
      </c>
      <c r="F42" s="15" t="s">
        <v>56</v>
      </c>
      <c r="G42" s="45" t="s">
        <v>58</v>
      </c>
      <c r="H42" s="15" t="s">
        <v>60</v>
      </c>
      <c r="I42" s="46" t="s">
        <v>61</v>
      </c>
      <c r="J42" s="154"/>
    </row>
    <row r="43" spans="2:18" ht="18" thickTop="1" thickBot="1" x14ac:dyDescent="0.35">
      <c r="B43" s="6" t="s">
        <v>6</v>
      </c>
      <c r="C43" s="32">
        <f>G13</f>
        <v>43657.919999999998</v>
      </c>
      <c r="D43" s="4">
        <v>639.36</v>
      </c>
      <c r="E43" s="48">
        <f>ROUND(C43/D43,0)</f>
        <v>68</v>
      </c>
      <c r="F43" s="12">
        <v>15</v>
      </c>
      <c r="G43" s="50">
        <f>ROUND(E43*(F43/100)+E43,1)</f>
        <v>78.2</v>
      </c>
      <c r="H43" s="4">
        <v>2</v>
      </c>
      <c r="I43" s="50">
        <f>G43*H43</f>
        <v>156.4</v>
      </c>
      <c r="J43" s="6"/>
    </row>
    <row r="44" spans="2:18" ht="18" thickTop="1" thickBot="1" x14ac:dyDescent="0.35">
      <c r="B44" s="8" t="s">
        <v>7</v>
      </c>
      <c r="C44" s="49">
        <f>G14</f>
        <v>0</v>
      </c>
      <c r="D44" s="9">
        <v>639.36</v>
      </c>
      <c r="E44" s="48">
        <f>C44/D44</f>
        <v>0</v>
      </c>
      <c r="F44" s="13">
        <v>20</v>
      </c>
      <c r="G44" s="50">
        <f>E44*(F44/100)+E44</f>
        <v>0</v>
      </c>
      <c r="H44" s="9">
        <v>2</v>
      </c>
      <c r="I44" s="50">
        <f>G44*H44</f>
        <v>0</v>
      </c>
      <c r="J44" s="8"/>
    </row>
    <row r="45" spans="2:18" ht="17.25" thickTop="1" x14ac:dyDescent="0.3">
      <c r="B45" s="8" t="s">
        <v>130</v>
      </c>
      <c r="C45" s="49">
        <f>G15</f>
        <v>0</v>
      </c>
      <c r="D45" s="115">
        <f>D44</f>
        <v>639.36</v>
      </c>
      <c r="E45" s="48">
        <f>C45/D45</f>
        <v>0</v>
      </c>
      <c r="F45" s="111">
        <v>20</v>
      </c>
      <c r="G45" s="50">
        <f>E45*(F45/100)+E45</f>
        <v>0</v>
      </c>
      <c r="H45" s="115">
        <v>2</v>
      </c>
      <c r="I45" s="50">
        <f>G45*H45</f>
        <v>0</v>
      </c>
      <c r="J45" s="94"/>
    </row>
    <row r="47" spans="2:18" ht="17.25" thickBot="1" x14ac:dyDescent="0.35">
      <c r="B47" t="s">
        <v>89</v>
      </c>
    </row>
    <row r="48" spans="2:18" ht="17.25" thickTop="1" x14ac:dyDescent="0.3">
      <c r="B48" s="176" t="s">
        <v>1</v>
      </c>
      <c r="C48" s="14" t="s">
        <v>90</v>
      </c>
      <c r="D48" s="178" t="s">
        <v>91</v>
      </c>
      <c r="E48" s="179"/>
      <c r="F48" s="178" t="s">
        <v>92</v>
      </c>
      <c r="G48" s="179"/>
      <c r="H48" s="180" t="s">
        <v>62</v>
      </c>
    </row>
    <row r="49" spans="2:15" ht="17.25" thickBot="1" x14ac:dyDescent="0.35">
      <c r="B49" s="177"/>
      <c r="C49" s="15" t="s">
        <v>56</v>
      </c>
      <c r="D49" s="1" t="s">
        <v>93</v>
      </c>
      <c r="E49" s="75" t="s">
        <v>94</v>
      </c>
      <c r="F49" s="1" t="s">
        <v>93</v>
      </c>
      <c r="G49" s="75" t="s">
        <v>94</v>
      </c>
      <c r="H49" s="181"/>
    </row>
    <row r="50" spans="2:15" ht="18" thickTop="1" thickBot="1" x14ac:dyDescent="0.35">
      <c r="B50" s="3" t="s">
        <v>6</v>
      </c>
      <c r="C50" s="26">
        <v>70</v>
      </c>
      <c r="D50" s="31">
        <f>G21</f>
        <v>12.5504</v>
      </c>
      <c r="E50" s="31">
        <f>ROUND(D50*((100-C50)/100),4)</f>
        <v>3.7650999999999999</v>
      </c>
      <c r="F50" s="40">
        <f>E29</f>
        <v>287.47000000000003</v>
      </c>
      <c r="G50" s="40">
        <f>ROUND(F50*((100-C50)/100),2)</f>
        <v>86.24</v>
      </c>
      <c r="H50" s="79"/>
      <c r="J50" s="118"/>
    </row>
    <row r="51" spans="2:15" ht="18" thickTop="1" thickBot="1" x14ac:dyDescent="0.35">
      <c r="B51" s="18" t="s">
        <v>7</v>
      </c>
      <c r="C51" s="27">
        <v>70</v>
      </c>
      <c r="D51" s="42">
        <f>G22</f>
        <v>0</v>
      </c>
      <c r="E51" s="31">
        <f>D51*((100-C51)/100)</f>
        <v>0</v>
      </c>
      <c r="F51" s="77" t="e">
        <f>E30</f>
        <v>#DIV/0!</v>
      </c>
      <c r="G51" s="40" t="e">
        <f>F51*((100-C51)/100)</f>
        <v>#DIV/0!</v>
      </c>
      <c r="H51" s="80"/>
    </row>
    <row r="52" spans="2:15" ht="18" thickTop="1" thickBot="1" x14ac:dyDescent="0.35">
      <c r="B52" s="8" t="s">
        <v>130</v>
      </c>
      <c r="C52" s="113">
        <v>70</v>
      </c>
      <c r="D52" s="42">
        <f>G23</f>
        <v>0</v>
      </c>
      <c r="E52" s="31">
        <f>D52*((100-C52)/100)</f>
        <v>0</v>
      </c>
      <c r="F52" s="77" t="e">
        <f>E31</f>
        <v>#DIV/0!</v>
      </c>
      <c r="G52" s="40" t="e">
        <f>F52*((100-C52)/100)</f>
        <v>#DIV/0!</v>
      </c>
      <c r="H52" s="116"/>
    </row>
    <row r="53" spans="2:15" ht="18" thickTop="1" thickBot="1" x14ac:dyDescent="0.35">
      <c r="B53" s="20" t="s">
        <v>35</v>
      </c>
      <c r="C53" s="21" t="s">
        <v>18</v>
      </c>
      <c r="D53" s="76">
        <f>G24</f>
        <v>12.5504</v>
      </c>
      <c r="E53" s="76">
        <f>SUM(E50:E52)</f>
        <v>3.7650999999999999</v>
      </c>
      <c r="F53" s="78" t="e">
        <f>E32</f>
        <v>#DIV/0!</v>
      </c>
      <c r="G53" s="78" t="e">
        <f>AVERAGE(G50:G52)</f>
        <v>#DIV/0!</v>
      </c>
      <c r="H53" s="22"/>
    </row>
    <row r="54" spans="2:15" ht="17.25" thickTop="1" x14ac:dyDescent="0.3"/>
    <row r="55" spans="2:15" ht="17.25" thickBot="1" x14ac:dyDescent="0.35">
      <c r="B55" t="s">
        <v>96</v>
      </c>
    </row>
    <row r="56" spans="2:15" x14ac:dyDescent="0.3">
      <c r="B56" s="182" t="s">
        <v>1</v>
      </c>
      <c r="C56" s="81" t="s">
        <v>90</v>
      </c>
      <c r="D56" s="173" t="s">
        <v>91</v>
      </c>
      <c r="E56" s="174"/>
      <c r="F56" s="174"/>
      <c r="G56" s="175"/>
      <c r="H56" s="173" t="s">
        <v>92</v>
      </c>
      <c r="I56" s="174"/>
      <c r="J56" s="174"/>
      <c r="K56" s="175"/>
      <c r="L56" s="82" t="s">
        <v>62</v>
      </c>
    </row>
    <row r="57" spans="2:15" ht="17.25" thickBot="1" x14ac:dyDescent="0.35">
      <c r="B57" s="183"/>
      <c r="C57" s="15" t="s">
        <v>56</v>
      </c>
      <c r="D57" s="1" t="s">
        <v>93</v>
      </c>
      <c r="E57" s="75" t="s">
        <v>99</v>
      </c>
      <c r="F57" s="75" t="s">
        <v>97</v>
      </c>
      <c r="G57" s="75" t="s">
        <v>98</v>
      </c>
      <c r="H57" s="1" t="s">
        <v>93</v>
      </c>
      <c r="I57" s="75" t="s">
        <v>99</v>
      </c>
      <c r="J57" s="75" t="s">
        <v>97</v>
      </c>
      <c r="K57" s="75" t="s">
        <v>98</v>
      </c>
      <c r="L57" s="83"/>
    </row>
    <row r="58" spans="2:15" ht="18" thickTop="1" thickBot="1" x14ac:dyDescent="0.35">
      <c r="B58" s="84" t="s">
        <v>6</v>
      </c>
      <c r="C58" s="26">
        <v>80</v>
      </c>
      <c r="D58" s="31">
        <f t="shared" ref="C58:D60" si="0">D50</f>
        <v>12.5504</v>
      </c>
      <c r="E58" s="31">
        <f>D58*((100-C58)/100)</f>
        <v>2.5100800000000003</v>
      </c>
      <c r="F58" s="31">
        <f>D58*(1-$C$58/100)*(1-$C$58/100)</f>
        <v>0.5020159999999998</v>
      </c>
      <c r="G58" s="31">
        <f>F58*((100-C58)/100)</f>
        <v>0.10040319999999997</v>
      </c>
      <c r="H58" s="40">
        <f>F50</f>
        <v>287.47000000000003</v>
      </c>
      <c r="I58" s="40">
        <f>H58*((100-C58)/100)</f>
        <v>57.494000000000007</v>
      </c>
      <c r="J58" s="40">
        <f>H58*(1-$C$58/100)*(1-$C$58/100)</f>
        <v>11.498799999999996</v>
      </c>
      <c r="K58" s="40">
        <f>J58*((100-C58)/100)</f>
        <v>2.2997599999999991</v>
      </c>
      <c r="L58" s="85"/>
      <c r="O58" s="40"/>
    </row>
    <row r="59" spans="2:15" ht="18" thickTop="1" thickBot="1" x14ac:dyDescent="0.35">
      <c r="B59" s="86" t="s">
        <v>7</v>
      </c>
      <c r="C59" s="27">
        <v>70</v>
      </c>
      <c r="D59" s="42">
        <f t="shared" si="0"/>
        <v>0</v>
      </c>
      <c r="E59" s="31">
        <f t="shared" ref="E59:E60" si="1">D59*((100-C59)/100)</f>
        <v>0</v>
      </c>
      <c r="F59" s="31">
        <f t="shared" ref="F59:F60" si="2">E59*((100-C59)/100)</f>
        <v>0</v>
      </c>
      <c r="G59" s="31">
        <f t="shared" ref="G59:G60" si="3">F59*((100-C59)/100)</f>
        <v>0</v>
      </c>
      <c r="H59" s="77" t="e">
        <f>F51</f>
        <v>#DIV/0!</v>
      </c>
      <c r="I59" s="40" t="e">
        <f>H59*((100-C59)/100)</f>
        <v>#DIV/0!</v>
      </c>
      <c r="J59" s="40" t="e">
        <f>I59*((100-C59)/100)</f>
        <v>#DIV/0!</v>
      </c>
      <c r="K59" s="40" t="e">
        <f>J59*((100-C59)/100)</f>
        <v>#DIV/0!</v>
      </c>
      <c r="L59" s="87"/>
      <c r="O59" s="40"/>
    </row>
    <row r="60" spans="2:15" ht="18" thickTop="1" thickBot="1" x14ac:dyDescent="0.35">
      <c r="B60" s="8" t="s">
        <v>130</v>
      </c>
      <c r="C60" s="27">
        <f t="shared" si="0"/>
        <v>70</v>
      </c>
      <c r="D60" s="42">
        <f t="shared" si="0"/>
        <v>0</v>
      </c>
      <c r="E60" s="31">
        <f t="shared" si="1"/>
        <v>0</v>
      </c>
      <c r="F60" s="31">
        <f t="shared" si="2"/>
        <v>0</v>
      </c>
      <c r="G60" s="31">
        <f t="shared" si="3"/>
        <v>0</v>
      </c>
      <c r="H60" s="77" t="e">
        <f>F52</f>
        <v>#DIV/0!</v>
      </c>
      <c r="I60" s="40" t="e">
        <f>H60*((100-C60)/100)</f>
        <v>#DIV/0!</v>
      </c>
      <c r="J60" s="40" t="e">
        <f>I60*((100-C60)/100)</f>
        <v>#DIV/0!</v>
      </c>
      <c r="K60" s="40" t="e">
        <f>J60*((100-C60)/100)</f>
        <v>#DIV/0!</v>
      </c>
      <c r="L60" s="117"/>
    </row>
    <row r="61" spans="2:15" ht="18" thickTop="1" thickBot="1" x14ac:dyDescent="0.35">
      <c r="B61" s="88" t="s">
        <v>35</v>
      </c>
      <c r="C61" s="89" t="s">
        <v>18</v>
      </c>
      <c r="D61" s="90">
        <f>D53</f>
        <v>12.5504</v>
      </c>
      <c r="E61" s="90">
        <f>SUM(E58:E60)</f>
        <v>2.5100800000000003</v>
      </c>
      <c r="F61" s="90">
        <f>SUM(F58:F60)</f>
        <v>0.5020159999999998</v>
      </c>
      <c r="G61" s="90">
        <f>SUM(G58:G60)</f>
        <v>0.10040319999999997</v>
      </c>
      <c r="H61" s="91" t="e">
        <f>F53</f>
        <v>#DIV/0!</v>
      </c>
      <c r="I61" s="91" t="e">
        <f>AVERAGE(I58:I60)</f>
        <v>#DIV/0!</v>
      </c>
      <c r="J61" s="91" t="e">
        <f>AVERAGE(J58:J60)</f>
        <v>#DIV/0!</v>
      </c>
      <c r="K61" s="91" t="e">
        <f>AVERAGE(K58:K60)</f>
        <v>#DIV/0!</v>
      </c>
      <c r="L61" s="92"/>
    </row>
    <row r="63" spans="2:15" ht="19.5" customHeight="1" x14ac:dyDescent="0.3">
      <c r="B63" s="169" t="s">
        <v>95</v>
      </c>
      <c r="C63" s="169"/>
      <c r="D63" s="169"/>
    </row>
    <row r="64" spans="2:15" x14ac:dyDescent="0.3">
      <c r="B64" s="152" t="s">
        <v>1</v>
      </c>
      <c r="C64" s="165" t="s">
        <v>37</v>
      </c>
      <c r="D64" s="166"/>
      <c r="E64" s="165" t="s">
        <v>38</v>
      </c>
      <c r="F64" s="166"/>
      <c r="G64" s="171" t="s">
        <v>39</v>
      </c>
      <c r="H64" s="172"/>
    </row>
    <row r="65" spans="2:10" x14ac:dyDescent="0.3">
      <c r="B65" s="159"/>
      <c r="C65" s="5" t="s">
        <v>40</v>
      </c>
      <c r="D65" s="5" t="s">
        <v>42</v>
      </c>
      <c r="E65" s="5" t="s">
        <v>40</v>
      </c>
      <c r="F65" s="5" t="s">
        <v>42</v>
      </c>
      <c r="G65" s="37" t="s">
        <v>40</v>
      </c>
      <c r="H65" s="37" t="s">
        <v>42</v>
      </c>
    </row>
    <row r="66" spans="2:10" ht="17.25" thickBot="1" x14ac:dyDescent="0.35">
      <c r="B66" s="154"/>
      <c r="C66" s="15" t="s">
        <v>41</v>
      </c>
      <c r="D66" s="15" t="s">
        <v>43</v>
      </c>
      <c r="E66" s="15" t="s">
        <v>44</v>
      </c>
      <c r="F66" s="15" t="s">
        <v>45</v>
      </c>
      <c r="G66" s="38" t="s">
        <v>46</v>
      </c>
      <c r="H66" s="38" t="s">
        <v>47</v>
      </c>
    </row>
    <row r="67" spans="2:10" ht="17.25" thickTop="1" x14ac:dyDescent="0.3">
      <c r="B67" s="4" t="s">
        <v>48</v>
      </c>
      <c r="C67" s="26">
        <f>C38</f>
        <v>1.2</v>
      </c>
      <c r="D67" s="26">
        <f>D38</f>
        <v>7.4</v>
      </c>
      <c r="E67" s="31">
        <f>E38</f>
        <v>0.50529999999999997</v>
      </c>
      <c r="F67" s="93">
        <f>J58</f>
        <v>11.498799999999996</v>
      </c>
      <c r="G67" s="31">
        <f>C67+E67</f>
        <v>1.7052999999999998</v>
      </c>
      <c r="H67" s="40">
        <f>((C67*D67)+(E67*F67))/G67</f>
        <v>8.6145215739166137</v>
      </c>
    </row>
    <row r="70" spans="2:10" x14ac:dyDescent="0.3">
      <c r="B70" s="152" t="s">
        <v>1</v>
      </c>
      <c r="C70" s="152" t="s">
        <v>100</v>
      </c>
      <c r="D70" s="11" t="s">
        <v>101</v>
      </c>
      <c r="E70" s="160" t="s">
        <v>103</v>
      </c>
      <c r="F70" s="161"/>
      <c r="G70" s="160" t="s">
        <v>104</v>
      </c>
      <c r="H70" s="161"/>
      <c r="I70" s="11" t="s">
        <v>105</v>
      </c>
      <c r="J70" s="103" t="s">
        <v>108</v>
      </c>
    </row>
    <row r="71" spans="2:10" x14ac:dyDescent="0.3">
      <c r="B71" s="159"/>
      <c r="C71" s="159"/>
      <c r="D71" s="95" t="s">
        <v>102</v>
      </c>
      <c r="E71" s="162"/>
      <c r="F71" s="163"/>
      <c r="G71" s="162"/>
      <c r="H71" s="163"/>
      <c r="I71" s="39" t="s">
        <v>106</v>
      </c>
      <c r="J71" s="39" t="s">
        <v>109</v>
      </c>
    </row>
    <row r="72" spans="2:10" ht="17.25" thickBot="1" x14ac:dyDescent="0.35">
      <c r="B72" s="154"/>
      <c r="C72" s="154"/>
      <c r="D72" s="96"/>
      <c r="E72" s="1" t="s">
        <v>111</v>
      </c>
      <c r="F72" s="1" t="s">
        <v>112</v>
      </c>
      <c r="G72" s="1" t="s">
        <v>113</v>
      </c>
      <c r="H72" s="1" t="s">
        <v>114</v>
      </c>
      <c r="I72" s="15" t="s">
        <v>107</v>
      </c>
      <c r="J72" s="15" t="s">
        <v>110</v>
      </c>
    </row>
    <row r="73" spans="2:10" ht="18" thickTop="1" thickBot="1" x14ac:dyDescent="0.35">
      <c r="B73" s="164" t="s">
        <v>115</v>
      </c>
      <c r="C73" s="6" t="s">
        <v>116</v>
      </c>
      <c r="D73" s="97">
        <v>207</v>
      </c>
      <c r="E73" s="6" t="s">
        <v>117</v>
      </c>
      <c r="F73" s="4" t="s">
        <v>18</v>
      </c>
      <c r="G73" s="4">
        <v>8</v>
      </c>
      <c r="H73" s="98">
        <f>D73*G73/1000</f>
        <v>1.6559999999999999</v>
      </c>
      <c r="I73" s="4">
        <v>100</v>
      </c>
      <c r="J73" s="6">
        <f>H73*I73/1000</f>
        <v>0.1656</v>
      </c>
    </row>
    <row r="74" spans="2:10" ht="18" thickTop="1" thickBot="1" x14ac:dyDescent="0.35">
      <c r="B74" s="151"/>
      <c r="C74" s="8" t="s">
        <v>118</v>
      </c>
      <c r="D74" s="99">
        <v>207</v>
      </c>
      <c r="E74" s="8" t="s">
        <v>117</v>
      </c>
      <c r="F74" s="9" t="s">
        <v>18</v>
      </c>
      <c r="G74" s="9">
        <v>15</v>
      </c>
      <c r="H74" s="98">
        <f>D74*G74/1000</f>
        <v>3.105</v>
      </c>
      <c r="I74" s="9">
        <v>100</v>
      </c>
      <c r="J74" s="6">
        <f>H74*I74/1000</f>
        <v>0.3105</v>
      </c>
    </row>
    <row r="75" spans="2:10" ht="17.25" thickTop="1" x14ac:dyDescent="0.3">
      <c r="B75" s="9" t="s">
        <v>119</v>
      </c>
      <c r="C75" s="8" t="s">
        <v>120</v>
      </c>
      <c r="D75" s="99">
        <v>64</v>
      </c>
      <c r="E75" s="9" t="s">
        <v>18</v>
      </c>
      <c r="F75" s="9">
        <v>10</v>
      </c>
      <c r="G75" s="9">
        <v>30</v>
      </c>
      <c r="H75" s="100">
        <f>F75*G75/1000</f>
        <v>0.3</v>
      </c>
      <c r="I75" s="9">
        <v>330</v>
      </c>
      <c r="J75" s="6">
        <f>H75*I75/1000</f>
        <v>9.9000000000000005E-2</v>
      </c>
    </row>
    <row r="76" spans="2:10" x14ac:dyDescent="0.3">
      <c r="B76" s="9" t="s">
        <v>121</v>
      </c>
      <c r="C76" s="8" t="s">
        <v>122</v>
      </c>
      <c r="D76" s="99">
        <v>140</v>
      </c>
      <c r="E76" s="8" t="s">
        <v>117</v>
      </c>
      <c r="F76" s="9" t="s">
        <v>18</v>
      </c>
      <c r="G76" s="9" t="s">
        <v>18</v>
      </c>
      <c r="H76" s="101" t="s">
        <v>18</v>
      </c>
      <c r="I76" s="9" t="s">
        <v>18</v>
      </c>
      <c r="J76" s="9" t="s">
        <v>18</v>
      </c>
    </row>
    <row r="77" spans="2:10" x14ac:dyDescent="0.3">
      <c r="B77" s="9" t="s">
        <v>123</v>
      </c>
      <c r="C77" s="8" t="s">
        <v>122</v>
      </c>
      <c r="D77" s="99">
        <v>140</v>
      </c>
      <c r="E77" s="8" t="s">
        <v>117</v>
      </c>
      <c r="F77" s="9" t="s">
        <v>18</v>
      </c>
      <c r="G77" s="9" t="s">
        <v>18</v>
      </c>
      <c r="H77" s="101" t="s">
        <v>18</v>
      </c>
      <c r="I77" s="9" t="s">
        <v>18</v>
      </c>
      <c r="J77" s="9" t="s">
        <v>18</v>
      </c>
    </row>
    <row r="78" spans="2:10" x14ac:dyDescent="0.3">
      <c r="B78" s="9" t="s">
        <v>124</v>
      </c>
      <c r="C78" s="8" t="s">
        <v>122</v>
      </c>
      <c r="D78" s="99">
        <v>140</v>
      </c>
      <c r="E78" s="8" t="s">
        <v>117</v>
      </c>
      <c r="F78" s="9" t="s">
        <v>18</v>
      </c>
      <c r="G78" s="9" t="s">
        <v>18</v>
      </c>
      <c r="H78" s="101" t="s">
        <v>18</v>
      </c>
      <c r="I78" s="9" t="s">
        <v>18</v>
      </c>
      <c r="J78" s="9" t="s">
        <v>18</v>
      </c>
    </row>
    <row r="79" spans="2:10" x14ac:dyDescent="0.3">
      <c r="B79" s="152" t="s">
        <v>125</v>
      </c>
      <c r="C79" s="11" t="s">
        <v>126</v>
      </c>
      <c r="D79" s="155">
        <v>75</v>
      </c>
      <c r="E79" s="152" t="s">
        <v>117</v>
      </c>
      <c r="F79" s="150" t="s">
        <v>18</v>
      </c>
      <c r="G79" s="150">
        <v>5</v>
      </c>
      <c r="H79" s="148">
        <f>D79*G79/1000</f>
        <v>0.375</v>
      </c>
      <c r="I79" s="150">
        <v>100</v>
      </c>
      <c r="J79" s="152">
        <f>I79*H79/1000</f>
        <v>3.7499999999999999E-2</v>
      </c>
    </row>
    <row r="80" spans="2:10" x14ac:dyDescent="0.3">
      <c r="B80" s="153"/>
      <c r="C80" s="102" t="s">
        <v>127</v>
      </c>
      <c r="D80" s="158"/>
      <c r="E80" s="153"/>
      <c r="F80" s="151"/>
      <c r="G80" s="151"/>
      <c r="H80" s="149"/>
      <c r="I80" s="151"/>
      <c r="J80" s="153"/>
    </row>
    <row r="81" spans="2:10" x14ac:dyDescent="0.3">
      <c r="B81" s="152" t="s">
        <v>128</v>
      </c>
      <c r="C81" s="11" t="s">
        <v>126</v>
      </c>
      <c r="D81" s="155">
        <v>225</v>
      </c>
      <c r="E81" s="152" t="s">
        <v>117</v>
      </c>
      <c r="F81" s="150" t="s">
        <v>18</v>
      </c>
      <c r="G81" s="150">
        <v>5</v>
      </c>
      <c r="H81" s="148">
        <f>D81*G81/1000</f>
        <v>1.125</v>
      </c>
      <c r="I81" s="150">
        <v>100</v>
      </c>
      <c r="J81" s="152">
        <f>I81*H81/1000</f>
        <v>0.1125</v>
      </c>
    </row>
    <row r="82" spans="2:10" ht="17.25" thickBot="1" x14ac:dyDescent="0.35">
      <c r="B82" s="154"/>
      <c r="C82" s="15" t="s">
        <v>127</v>
      </c>
      <c r="D82" s="156"/>
      <c r="E82" s="154"/>
      <c r="F82" s="157"/>
      <c r="G82" s="157"/>
      <c r="H82" s="149"/>
      <c r="I82" s="157"/>
      <c r="J82" s="153"/>
    </row>
    <row r="83" spans="2:10" ht="17.25" thickTop="1" x14ac:dyDescent="0.3">
      <c r="B83" s="146" t="s">
        <v>17</v>
      </c>
      <c r="C83" s="147"/>
      <c r="D83" s="104">
        <v>1198</v>
      </c>
      <c r="E83" s="4" t="s">
        <v>18</v>
      </c>
      <c r="F83" s="4" t="s">
        <v>18</v>
      </c>
      <c r="G83" s="4" t="s">
        <v>18</v>
      </c>
      <c r="H83" s="98">
        <f>SUM(H73:H82)</f>
        <v>6.5609999999999999</v>
      </c>
      <c r="I83" s="6"/>
      <c r="J83" s="6">
        <f>SUM(J73:J82)</f>
        <v>0.72509999999999997</v>
      </c>
    </row>
  </sheetData>
  <mergeCells count="57">
    <mergeCell ref="N3:T3"/>
    <mergeCell ref="M4:M6"/>
    <mergeCell ref="N4:T4"/>
    <mergeCell ref="N5:N6"/>
    <mergeCell ref="N9:T9"/>
    <mergeCell ref="D56:G56"/>
    <mergeCell ref="H56:K56"/>
    <mergeCell ref="B48:B49"/>
    <mergeCell ref="D48:E48"/>
    <mergeCell ref="F48:G48"/>
    <mergeCell ref="H48:H49"/>
    <mergeCell ref="B56:B57"/>
    <mergeCell ref="B63:D63"/>
    <mergeCell ref="B64:B66"/>
    <mergeCell ref="C64:D64"/>
    <mergeCell ref="E64:F64"/>
    <mergeCell ref="G64:H64"/>
    <mergeCell ref="J41:J42"/>
    <mergeCell ref="H11:H12"/>
    <mergeCell ref="B19:B20"/>
    <mergeCell ref="B26:E26"/>
    <mergeCell ref="B27:B28"/>
    <mergeCell ref="F27:F28"/>
    <mergeCell ref="B34:E34"/>
    <mergeCell ref="F11:G11"/>
    <mergeCell ref="B35:B37"/>
    <mergeCell ref="C35:D35"/>
    <mergeCell ref="E35:F35"/>
    <mergeCell ref="G35:H35"/>
    <mergeCell ref="B41:B42"/>
    <mergeCell ref="B3:B4"/>
    <mergeCell ref="C3:D3"/>
    <mergeCell ref="E3:E4"/>
    <mergeCell ref="B11:B12"/>
    <mergeCell ref="D11:D12"/>
    <mergeCell ref="G79:G80"/>
    <mergeCell ref="B70:B72"/>
    <mergeCell ref="C70:C72"/>
    <mergeCell ref="E70:F71"/>
    <mergeCell ref="G70:H71"/>
    <mergeCell ref="B73:B74"/>
    <mergeCell ref="B83:C83"/>
    <mergeCell ref="H79:H80"/>
    <mergeCell ref="I79:I80"/>
    <mergeCell ref="J79:J80"/>
    <mergeCell ref="B81:B82"/>
    <mergeCell ref="D81:D82"/>
    <mergeCell ref="E81:E82"/>
    <mergeCell ref="F81:F82"/>
    <mergeCell ref="G81:G82"/>
    <mergeCell ref="H81:H82"/>
    <mergeCell ref="I81:I82"/>
    <mergeCell ref="J81:J82"/>
    <mergeCell ref="B79:B80"/>
    <mergeCell ref="D79:D80"/>
    <mergeCell ref="E79:E80"/>
    <mergeCell ref="F79:F8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F12" sqref="F12:G13"/>
    </sheetView>
  </sheetViews>
  <sheetFormatPr defaultRowHeight="16.5" x14ac:dyDescent="0.3"/>
  <cols>
    <col min="1" max="1" width="13" customWidth="1"/>
    <col min="2" max="2" width="16.125" customWidth="1"/>
    <col min="3" max="3" width="13.5" customWidth="1"/>
    <col min="4" max="4" width="12.125" customWidth="1"/>
    <col min="5" max="5" width="15.875" customWidth="1"/>
    <col min="6" max="6" width="13.375" customWidth="1"/>
    <col min="7" max="7" width="11.625" customWidth="1"/>
    <col min="9" max="9" width="9.25" bestFit="1" customWidth="1"/>
  </cols>
  <sheetData>
    <row r="1" spans="1:9" ht="17.25" x14ac:dyDescent="0.3">
      <c r="A1" s="199" t="s">
        <v>63</v>
      </c>
      <c r="B1" s="199"/>
      <c r="C1" s="36"/>
      <c r="D1" s="36"/>
      <c r="E1" s="36"/>
      <c r="F1" s="36"/>
      <c r="G1" s="36"/>
    </row>
    <row r="2" spans="1:9" ht="18" thickBot="1" x14ac:dyDescent="0.35">
      <c r="A2" s="198" t="s">
        <v>64</v>
      </c>
      <c r="B2" s="198"/>
      <c r="C2" s="36"/>
      <c r="D2" s="36"/>
      <c r="E2" s="36"/>
      <c r="F2" s="36"/>
      <c r="G2" s="36"/>
    </row>
    <row r="3" spans="1:9" ht="50.25" thickBot="1" x14ac:dyDescent="0.35">
      <c r="A3" s="51" t="s">
        <v>65</v>
      </c>
      <c r="B3" s="52" t="s">
        <v>66</v>
      </c>
      <c r="C3" s="53" t="s">
        <v>67</v>
      </c>
      <c r="D3" s="53" t="s">
        <v>68</v>
      </c>
      <c r="E3" s="54" t="s">
        <v>69</v>
      </c>
      <c r="F3" s="36"/>
      <c r="G3" s="36"/>
    </row>
    <row r="4" spans="1:9" ht="18" thickTop="1" thickBot="1" x14ac:dyDescent="0.35">
      <c r="A4" s="63" t="s">
        <v>83</v>
      </c>
      <c r="B4" s="71" t="s">
        <v>88</v>
      </c>
      <c r="C4" s="139">
        <v>6.4387999999999996</v>
      </c>
      <c r="D4" s="73">
        <f>Sheet1!F13</f>
        <v>0.50529999999999997</v>
      </c>
      <c r="E4" s="64">
        <v>0</v>
      </c>
      <c r="F4" s="36"/>
      <c r="G4" s="36"/>
    </row>
    <row r="5" spans="1:9" ht="18" thickTop="1" thickBot="1" x14ac:dyDescent="0.35">
      <c r="A5" s="70" t="s">
        <v>87</v>
      </c>
      <c r="B5" s="71" t="s">
        <v>88</v>
      </c>
      <c r="C5" s="140">
        <v>0</v>
      </c>
      <c r="D5" s="73">
        <f>Sheet1!F14</f>
        <v>0</v>
      </c>
      <c r="E5" s="64">
        <v>0</v>
      </c>
      <c r="F5" s="36"/>
      <c r="G5" s="36"/>
    </row>
    <row r="6" spans="1:9" ht="17.25" thickBot="1" x14ac:dyDescent="0.35">
      <c r="A6" s="36"/>
      <c r="B6" s="36"/>
      <c r="C6" s="107"/>
      <c r="D6" s="36"/>
      <c r="E6" s="36"/>
      <c r="F6" s="36"/>
      <c r="G6" s="36"/>
      <c r="I6" s="108"/>
    </row>
    <row r="7" spans="1:9" ht="17.25" thickTop="1" x14ac:dyDescent="0.3">
      <c r="A7" s="36"/>
      <c r="B7" s="36"/>
      <c r="C7" s="36"/>
      <c r="D7" s="36"/>
      <c r="E7" s="36"/>
      <c r="F7" s="36"/>
      <c r="G7" s="36"/>
    </row>
    <row r="8" spans="1:9" ht="17.25" x14ac:dyDescent="0.3">
      <c r="A8" s="198" t="s">
        <v>70</v>
      </c>
      <c r="B8" s="198"/>
    </row>
    <row r="9" spans="1:9" x14ac:dyDescent="0.3">
      <c r="A9" s="56" t="s">
        <v>71</v>
      </c>
      <c r="B9" s="66" t="str">
        <f>A4</f>
        <v>배수구역1</v>
      </c>
      <c r="C9" s="57" t="s">
        <v>85</v>
      </c>
      <c r="D9" s="57" t="s">
        <v>86</v>
      </c>
      <c r="E9" s="57" t="s">
        <v>72</v>
      </c>
      <c r="F9" s="69">
        <f>Sheet1!D5</f>
        <v>1.6576</v>
      </c>
      <c r="G9" s="58" t="s">
        <v>73</v>
      </c>
    </row>
    <row r="10" spans="1:9" x14ac:dyDescent="0.3">
      <c r="A10" s="59" t="s">
        <v>74</v>
      </c>
      <c r="B10" s="68">
        <f>Sheet1!F13</f>
        <v>0.50529999999999997</v>
      </c>
      <c r="C10" s="60" t="s">
        <v>75</v>
      </c>
      <c r="D10" s="60"/>
      <c r="E10" s="60" t="s">
        <v>84</v>
      </c>
      <c r="F10" s="143">
        <v>462.52</v>
      </c>
      <c r="G10" s="61" t="s">
        <v>76</v>
      </c>
    </row>
    <row r="11" spans="1:9" ht="49.5" x14ac:dyDescent="0.3">
      <c r="A11" s="62" t="s">
        <v>77</v>
      </c>
      <c r="B11" s="62"/>
      <c r="C11" s="62" t="s">
        <v>78</v>
      </c>
      <c r="D11" s="62" t="s">
        <v>79</v>
      </c>
      <c r="E11" s="62" t="s">
        <v>80</v>
      </c>
      <c r="F11" s="62" t="s">
        <v>81</v>
      </c>
      <c r="G11" s="62" t="s">
        <v>82</v>
      </c>
    </row>
    <row r="12" spans="1:9" x14ac:dyDescent="0.3">
      <c r="A12" s="55">
        <v>2</v>
      </c>
      <c r="B12" s="55"/>
      <c r="C12" s="144">
        <v>11.4</v>
      </c>
      <c r="D12" s="55">
        <v>10</v>
      </c>
      <c r="E12" s="74">
        <f>ROUND(1.2*$B$10/D12*100,0)</f>
        <v>6</v>
      </c>
      <c r="F12" s="141">
        <f>ROUND(IF(100*$F$10/E12&gt;=100,100,100*$F$10/E12),1)</f>
        <v>100</v>
      </c>
      <c r="G12" s="141">
        <f>ROUND(C12*F12/100,1)</f>
        <v>11.4</v>
      </c>
    </row>
    <row r="13" spans="1:9" x14ac:dyDescent="0.3">
      <c r="A13" s="55">
        <v>0.1</v>
      </c>
      <c r="B13" s="55"/>
      <c r="C13" s="144">
        <v>56.3</v>
      </c>
      <c r="D13" s="55">
        <v>0.74</v>
      </c>
      <c r="E13" s="74">
        <f t="shared" ref="E13:E16" si="0">ROUND(1.2*$B$10/D13*100,0)</f>
        <v>82</v>
      </c>
      <c r="F13" s="141">
        <f>ROUND(IF(100*$F$10/E13&gt;=100,100,100*$F$10/E13),1)</f>
        <v>100</v>
      </c>
      <c r="G13" s="141">
        <f t="shared" ref="G13:G16" si="1">ROUND(C13*F13/100,1)</f>
        <v>56.3</v>
      </c>
    </row>
    <row r="14" spans="1:9" x14ac:dyDescent="0.3">
      <c r="A14" s="55">
        <v>0.05</v>
      </c>
      <c r="B14" s="55"/>
      <c r="C14" s="144">
        <v>3.5</v>
      </c>
      <c r="D14" s="55">
        <v>0.17</v>
      </c>
      <c r="E14" s="74">
        <f t="shared" si="0"/>
        <v>357</v>
      </c>
      <c r="F14" s="141">
        <f>ROUND(IF(100*$F$10/E14&gt;=100,100,100*$F$10/E14),1)</f>
        <v>100</v>
      </c>
      <c r="G14" s="141">
        <f t="shared" si="1"/>
        <v>3.5</v>
      </c>
    </row>
    <row r="15" spans="1:9" x14ac:dyDescent="0.3">
      <c r="A15" s="55">
        <v>2E-3</v>
      </c>
      <c r="B15" s="55"/>
      <c r="C15" s="144">
        <v>30</v>
      </c>
      <c r="D15" s="55">
        <v>2.7999999999999998E-4</v>
      </c>
      <c r="E15" s="74">
        <f t="shared" si="0"/>
        <v>216557</v>
      </c>
      <c r="F15" s="141">
        <f>ROUND(IF(100*$F$10/E15&gt;=100,100,100*$F$10/E15),1)</f>
        <v>0.2</v>
      </c>
      <c r="G15" s="141">
        <f t="shared" si="1"/>
        <v>0.1</v>
      </c>
    </row>
    <row r="16" spans="1:9" ht="17.25" thickBot="1" x14ac:dyDescent="0.35">
      <c r="A16" s="55">
        <v>1E-3</v>
      </c>
      <c r="B16" s="55"/>
      <c r="C16" s="145">
        <v>10.199999999999999</v>
      </c>
      <c r="D16" s="55">
        <v>6.8999999999999997E-5</v>
      </c>
      <c r="E16" s="74">
        <f t="shared" si="0"/>
        <v>878783</v>
      </c>
      <c r="F16" s="141">
        <f>ROUND(IF(100*$F$10/E16&gt;=100,100,100*$F$10/E16),1)</f>
        <v>0.1</v>
      </c>
      <c r="G16" s="141">
        <f t="shared" si="1"/>
        <v>0</v>
      </c>
    </row>
    <row r="17" spans="1:7" ht="17.25" thickTop="1" x14ac:dyDescent="0.3">
      <c r="A17" s="36"/>
      <c r="B17" s="36"/>
      <c r="C17" s="36"/>
      <c r="D17" s="36"/>
      <c r="E17" s="36"/>
      <c r="F17" s="36"/>
      <c r="G17" s="142">
        <f>SUM(G12:G16)</f>
        <v>71.3</v>
      </c>
    </row>
    <row r="20" spans="1:7" x14ac:dyDescent="0.3">
      <c r="A20" s="56" t="s">
        <v>71</v>
      </c>
      <c r="B20" s="66" t="str">
        <f>A5</f>
        <v>배수구역2</v>
      </c>
      <c r="C20" s="57" t="s">
        <v>85</v>
      </c>
      <c r="D20" s="57" t="s">
        <v>86</v>
      </c>
      <c r="E20" s="57" t="s">
        <v>72</v>
      </c>
      <c r="F20" s="69">
        <f>Sheet1!D6</f>
        <v>0</v>
      </c>
      <c r="G20" s="58" t="s">
        <v>73</v>
      </c>
    </row>
    <row r="21" spans="1:7" x14ac:dyDescent="0.3">
      <c r="A21" s="59" t="s">
        <v>74</v>
      </c>
      <c r="B21" s="68">
        <f>Sheet1!F14</f>
        <v>0</v>
      </c>
      <c r="C21" s="60" t="s">
        <v>75</v>
      </c>
      <c r="D21" s="60"/>
      <c r="E21" s="60" t="s">
        <v>84</v>
      </c>
      <c r="F21" s="65">
        <f>Sheet1!G44</f>
        <v>0</v>
      </c>
      <c r="G21" s="61" t="s">
        <v>76</v>
      </c>
    </row>
    <row r="22" spans="1:7" ht="49.5" x14ac:dyDescent="0.3">
      <c r="A22" s="62" t="s">
        <v>77</v>
      </c>
      <c r="B22" s="62"/>
      <c r="C22" s="62" t="s">
        <v>78</v>
      </c>
      <c r="D22" s="62" t="s">
        <v>79</v>
      </c>
      <c r="E22" s="62" t="s">
        <v>80</v>
      </c>
      <c r="F22" s="62" t="s">
        <v>81</v>
      </c>
      <c r="G22" s="62" t="s">
        <v>82</v>
      </c>
    </row>
    <row r="23" spans="1:7" x14ac:dyDescent="0.3">
      <c r="A23" s="55">
        <v>2</v>
      </c>
      <c r="B23" s="55"/>
      <c r="C23" s="119">
        <v>27.2</v>
      </c>
      <c r="D23" s="55">
        <v>10</v>
      </c>
      <c r="E23" s="74">
        <f>ROUND(1.2*$B$21/D23*100,0)</f>
        <v>0</v>
      </c>
      <c r="F23" s="74" t="e">
        <f>ROUND(IF(100*$F$21/E23&gt;=100,100,100*$F$21/E23),1)</f>
        <v>#DIV/0!</v>
      </c>
      <c r="G23" s="74" t="e">
        <f>ROUND(C23*F23/100,1)</f>
        <v>#DIV/0!</v>
      </c>
    </row>
    <row r="24" spans="1:7" x14ac:dyDescent="0.3">
      <c r="A24" s="55">
        <v>0.1</v>
      </c>
      <c r="B24" s="55"/>
      <c r="C24" s="119">
        <v>41.1</v>
      </c>
      <c r="D24" s="55">
        <v>0.74</v>
      </c>
      <c r="E24" s="74">
        <f t="shared" ref="E24:E27" si="2">ROUND(1.2*$B$21/D24*100,0)</f>
        <v>0</v>
      </c>
      <c r="F24" s="74" t="e">
        <f t="shared" ref="F24:F27" si="3">ROUND(IF(100*$F$21/E24&gt;=100,100,100*$F$21/E24),1)</f>
        <v>#DIV/0!</v>
      </c>
      <c r="G24" s="74" t="e">
        <f t="shared" ref="G24:G27" si="4">ROUND(C24*F24/100,1)</f>
        <v>#DIV/0!</v>
      </c>
    </row>
    <row r="25" spans="1:7" x14ac:dyDescent="0.3">
      <c r="A25" s="55">
        <v>0.05</v>
      </c>
      <c r="B25" s="55"/>
      <c r="C25" s="119">
        <v>14.7</v>
      </c>
      <c r="D25" s="55">
        <v>0.17</v>
      </c>
      <c r="E25" s="74">
        <f t="shared" si="2"/>
        <v>0</v>
      </c>
      <c r="F25" s="74" t="e">
        <f t="shared" si="3"/>
        <v>#DIV/0!</v>
      </c>
      <c r="G25" s="74" t="e">
        <f t="shared" si="4"/>
        <v>#DIV/0!</v>
      </c>
    </row>
    <row r="26" spans="1:7" x14ac:dyDescent="0.3">
      <c r="A26" s="55">
        <v>2E-3</v>
      </c>
      <c r="B26" s="55"/>
      <c r="C26" s="119">
        <v>24.7</v>
      </c>
      <c r="D26" s="55">
        <v>2.7999999999999998E-4</v>
      </c>
      <c r="E26" s="74">
        <f t="shared" si="2"/>
        <v>0</v>
      </c>
      <c r="F26" s="74" t="e">
        <f t="shared" si="3"/>
        <v>#DIV/0!</v>
      </c>
      <c r="G26" s="74" t="e">
        <f t="shared" si="4"/>
        <v>#DIV/0!</v>
      </c>
    </row>
    <row r="27" spans="1:7" ht="17.25" thickBot="1" x14ac:dyDescent="0.35">
      <c r="A27" s="55">
        <v>1E-3</v>
      </c>
      <c r="B27" s="55"/>
      <c r="C27" s="120">
        <v>19.5</v>
      </c>
      <c r="D27" s="55">
        <v>6.8999999999999997E-5</v>
      </c>
      <c r="E27" s="74">
        <f t="shared" si="2"/>
        <v>0</v>
      </c>
      <c r="F27" s="74" t="e">
        <f t="shared" si="3"/>
        <v>#DIV/0!</v>
      </c>
      <c r="G27" s="74" t="e">
        <f t="shared" si="4"/>
        <v>#DIV/0!</v>
      </c>
    </row>
    <row r="28" spans="1:7" ht="17.25" thickTop="1" x14ac:dyDescent="0.3">
      <c r="A28" s="36"/>
      <c r="B28" s="36"/>
      <c r="C28" s="36"/>
      <c r="D28" s="36"/>
      <c r="E28" s="36"/>
      <c r="F28" s="36"/>
      <c r="G28" s="67" t="e">
        <f>SUM(G23:G27)</f>
        <v>#DIV/0!</v>
      </c>
    </row>
    <row r="31" spans="1:7" x14ac:dyDescent="0.3">
      <c r="A31" s="56" t="s">
        <v>71</v>
      </c>
      <c r="B31" s="66" t="e">
        <f>#REF!</f>
        <v>#REF!</v>
      </c>
      <c r="C31" s="57" t="s">
        <v>85</v>
      </c>
      <c r="D31" s="57" t="s">
        <v>86</v>
      </c>
      <c r="E31" s="57" t="s">
        <v>72</v>
      </c>
      <c r="F31" s="69">
        <v>4181</v>
      </c>
      <c r="G31" s="58" t="s">
        <v>73</v>
      </c>
    </row>
    <row r="32" spans="1:7" x14ac:dyDescent="0.3">
      <c r="A32" s="59" t="s">
        <v>74</v>
      </c>
      <c r="B32" s="68" t="e">
        <f>#REF!</f>
        <v>#REF!</v>
      </c>
      <c r="C32" s="60" t="s">
        <v>75</v>
      </c>
      <c r="D32" s="60"/>
      <c r="E32" s="60" t="s">
        <v>84</v>
      </c>
      <c r="F32" s="65" t="e">
        <f>Sheet1!#REF!</f>
        <v>#REF!</v>
      </c>
      <c r="G32" s="61" t="s">
        <v>76</v>
      </c>
    </row>
    <row r="33" spans="1:7" ht="49.5" x14ac:dyDescent="0.3">
      <c r="A33" s="62" t="s">
        <v>77</v>
      </c>
      <c r="B33" s="62"/>
      <c r="C33" s="62" t="s">
        <v>78</v>
      </c>
      <c r="D33" s="62" t="s">
        <v>79</v>
      </c>
      <c r="E33" s="62" t="s">
        <v>80</v>
      </c>
      <c r="F33" s="62" t="s">
        <v>81</v>
      </c>
      <c r="G33" s="62" t="s">
        <v>82</v>
      </c>
    </row>
    <row r="34" spans="1:7" x14ac:dyDescent="0.3">
      <c r="A34" s="55">
        <v>2</v>
      </c>
      <c r="B34" s="55"/>
      <c r="C34" s="72">
        <v>14.9</v>
      </c>
      <c r="D34" s="55">
        <v>10</v>
      </c>
      <c r="E34" s="74">
        <f>ROUND(1.2*$B$10/D34*100,0)</f>
        <v>6</v>
      </c>
      <c r="F34" s="74">
        <f>ROUND(IF(100*$F$21/E34&gt;=100,100,100*$F$21/E34),1)</f>
        <v>0</v>
      </c>
      <c r="G34" s="74">
        <f>ROUND(C34*F34/100,1)</f>
        <v>0</v>
      </c>
    </row>
    <row r="35" spans="1:7" x14ac:dyDescent="0.3">
      <c r="A35" s="55">
        <v>0.1</v>
      </c>
      <c r="B35" s="55"/>
      <c r="C35" s="72">
        <v>48.9</v>
      </c>
      <c r="D35" s="55">
        <v>0.74</v>
      </c>
      <c r="E35" s="74">
        <f t="shared" ref="E35:E38" si="5">ROUND(1.2*$B$10/D35*100,0)</f>
        <v>82</v>
      </c>
      <c r="F35" s="74">
        <f t="shared" ref="F35:F38" si="6">ROUND(IF(100*$F$21/E35&gt;=100,100,100*$F$21/E35),1)</f>
        <v>0</v>
      </c>
      <c r="G35" s="74">
        <f t="shared" ref="G35:G38" si="7">ROUND(C35*F35/100,1)</f>
        <v>0</v>
      </c>
    </row>
    <row r="36" spans="1:7" x14ac:dyDescent="0.3">
      <c r="A36" s="55">
        <v>0.05</v>
      </c>
      <c r="B36" s="55"/>
      <c r="C36" s="72">
        <v>5</v>
      </c>
      <c r="D36" s="55">
        <v>0.17</v>
      </c>
      <c r="E36" s="74">
        <f t="shared" si="5"/>
        <v>357</v>
      </c>
      <c r="F36" s="74">
        <f t="shared" si="6"/>
        <v>0</v>
      </c>
      <c r="G36" s="74">
        <f t="shared" si="7"/>
        <v>0</v>
      </c>
    </row>
    <row r="37" spans="1:7" x14ac:dyDescent="0.3">
      <c r="A37" s="55">
        <v>2E-3</v>
      </c>
      <c r="B37" s="55"/>
      <c r="C37" s="72">
        <v>27.5</v>
      </c>
      <c r="D37" s="55">
        <v>2.7999999999999998E-4</v>
      </c>
      <c r="E37" s="74">
        <f t="shared" si="5"/>
        <v>216557</v>
      </c>
      <c r="F37" s="74">
        <f t="shared" si="6"/>
        <v>0</v>
      </c>
      <c r="G37" s="74">
        <f t="shared" si="7"/>
        <v>0</v>
      </c>
    </row>
    <row r="38" spans="1:7" x14ac:dyDescent="0.3">
      <c r="A38" s="55">
        <v>1E-3</v>
      </c>
      <c r="B38" s="55"/>
      <c r="C38" s="72">
        <v>18.600000000000001</v>
      </c>
      <c r="D38" s="55">
        <v>6.8999999999999997E-5</v>
      </c>
      <c r="E38" s="74">
        <f t="shared" si="5"/>
        <v>878783</v>
      </c>
      <c r="F38" s="74">
        <f t="shared" si="6"/>
        <v>0</v>
      </c>
      <c r="G38" s="74">
        <f t="shared" si="7"/>
        <v>0</v>
      </c>
    </row>
    <row r="39" spans="1:7" x14ac:dyDescent="0.3">
      <c r="A39" s="36"/>
      <c r="B39" s="36"/>
      <c r="C39" s="36"/>
      <c r="D39" s="36"/>
      <c r="E39" s="36"/>
      <c r="F39" s="36"/>
      <c r="G39" s="67">
        <f>SUM(G34:G38)</f>
        <v>0</v>
      </c>
    </row>
  </sheetData>
  <mergeCells count="3">
    <mergeCell ref="A8:B8"/>
    <mergeCell ref="A1:B1"/>
    <mergeCell ref="A2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침사지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이나라</dc:creator>
  <cp:lastModifiedBy>JDW</cp:lastModifiedBy>
  <dcterms:created xsi:type="dcterms:W3CDTF">2016-03-30T01:45:43Z</dcterms:created>
  <dcterms:modified xsi:type="dcterms:W3CDTF">2025-03-28T06:11:32Z</dcterms:modified>
</cp:coreProperties>
</file>