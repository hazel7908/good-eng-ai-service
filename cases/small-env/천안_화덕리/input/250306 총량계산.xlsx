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전아름\3. 소규모환경영향평가\2025\2. 천안시 동남구 동면 화덕리 30번지일원 태양광발전시설 조성사업\1. 기타자료\3. 엑셀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1" l="1"/>
  <c r="F27" i="1" s="1"/>
  <c r="B26" i="1"/>
  <c r="F26" i="1" s="1"/>
  <c r="B25" i="1"/>
  <c r="F25" i="1" s="1"/>
  <c r="F16" i="1"/>
  <c r="E16" i="1"/>
  <c r="B17" i="1"/>
  <c r="E17" i="1" s="1"/>
  <c r="B19" i="1"/>
  <c r="F19" i="1" s="1"/>
  <c r="B18" i="1"/>
  <c r="E18" i="1" s="1"/>
  <c r="B16" i="1"/>
  <c r="F28" i="1" l="1"/>
  <c r="E35" i="1" s="1"/>
  <c r="G35" i="1" s="1"/>
  <c r="B20" i="1"/>
  <c r="E25" i="1"/>
  <c r="E26" i="1"/>
  <c r="B28" i="1"/>
  <c r="E19" i="1"/>
  <c r="E20" i="1" s="1"/>
  <c r="B34" i="1" s="1"/>
  <c r="D34" i="1" s="1"/>
  <c r="F18" i="1"/>
  <c r="F17" i="1"/>
  <c r="F20" i="1" s="1"/>
  <c r="B35" i="1" s="1"/>
  <c r="D35" i="1" s="1"/>
  <c r="E27" i="1"/>
  <c r="E28" i="1" l="1"/>
  <c r="E34" i="1" s="1"/>
  <c r="G34" i="1" s="1"/>
  <c r="H34" i="1" s="1"/>
  <c r="H35" i="1"/>
</calcChain>
</file>

<file path=xl/sharedStrings.xml><?xml version="1.0" encoding="utf-8"?>
<sst xmlns="http://schemas.openxmlformats.org/spreadsheetml/2006/main" count="81" uniqueCount="44">
  <si>
    <t>편입토지조서</t>
  </si>
  <si>
    <t>구분</t>
  </si>
  <si>
    <t>지번</t>
  </si>
  <si>
    <t>지목</t>
  </si>
  <si>
    <t>지적면적</t>
  </si>
  <si>
    <t>사업부지</t>
  </si>
  <si>
    <t>도로개설</t>
  </si>
  <si>
    <t>소계</t>
  </si>
  <si>
    <t>비고</t>
  </si>
  <si>
    <t xml:space="preserve">천안시 </t>
  </si>
  <si>
    <t xml:space="preserve">동남구 </t>
  </si>
  <si>
    <t xml:space="preserve">동면 </t>
  </si>
  <si>
    <t>화덕리</t>
  </si>
  <si>
    <t>답</t>
  </si>
  <si>
    <t>-</t>
  </si>
  <si>
    <t>전</t>
  </si>
  <si>
    <t>유</t>
  </si>
  <si>
    <t>322-1</t>
  </si>
  <si>
    <t>구</t>
  </si>
  <si>
    <t>공유수면</t>
  </si>
  <si>
    <t>합계</t>
  </si>
  <si>
    <t>사업시행 전 토지계 발생부하량 산정</t>
  </si>
  <si>
    <t>지 목</t>
  </si>
  <si>
    <t>토지이용면적</t>
  </si>
  <si>
    <r>
      <t>(</t>
    </r>
    <r>
      <rPr>
        <sz val="10"/>
        <color rgb="FF000000"/>
        <rFont val="맑은 고딕"/>
        <family val="3"/>
        <charset val="129"/>
        <scheme val="minor"/>
      </rPr>
      <t>㎡</t>
    </r>
    <r>
      <rPr>
        <sz val="10"/>
        <color rgb="FF000000"/>
        <rFont val="나눔고딕"/>
        <family val="3"/>
        <charset val="129"/>
      </rPr>
      <t>)</t>
    </r>
  </si>
  <si>
    <r>
      <t>원단위</t>
    </r>
    <r>
      <rPr>
        <sz val="10"/>
        <color rgb="FF000000"/>
        <rFont val="나눔고딕"/>
        <family val="3"/>
        <charset val="129"/>
      </rPr>
      <t>(</t>
    </r>
    <r>
      <rPr>
        <sz val="10"/>
        <color rgb="FF000000"/>
        <rFont val="맑은 고딕"/>
        <family val="3"/>
        <charset val="129"/>
        <scheme val="minor"/>
      </rPr>
      <t>㎏</t>
    </r>
    <r>
      <rPr>
        <sz val="10"/>
        <color rgb="FF000000"/>
        <rFont val="나눔고딕"/>
        <family val="3"/>
        <charset val="129"/>
      </rPr>
      <t>/</t>
    </r>
    <r>
      <rPr>
        <sz val="10"/>
        <color rgb="FF000000"/>
        <rFont val="맑은 고딕"/>
        <family val="3"/>
        <charset val="129"/>
        <scheme val="minor"/>
      </rPr>
      <t>㎢･일</t>
    </r>
    <r>
      <rPr>
        <sz val="10"/>
        <color rgb="FF000000"/>
        <rFont val="나눔고딕"/>
        <family val="3"/>
        <charset val="129"/>
      </rPr>
      <t>)</t>
    </r>
  </si>
  <si>
    <r>
      <t>발생부하량</t>
    </r>
    <r>
      <rPr>
        <sz val="10"/>
        <color rgb="FF000000"/>
        <rFont val="나눔고딕"/>
        <family val="3"/>
        <charset val="129"/>
      </rPr>
      <t>(</t>
    </r>
    <r>
      <rPr>
        <sz val="10"/>
        <color rgb="FF000000"/>
        <rFont val="맑은 고딕"/>
        <family val="3"/>
        <charset val="129"/>
        <scheme val="minor"/>
      </rPr>
      <t>㎏</t>
    </r>
    <r>
      <rPr>
        <sz val="10"/>
        <color rgb="FF000000"/>
        <rFont val="나눔고딕"/>
        <family val="3"/>
        <charset val="129"/>
      </rPr>
      <t>/</t>
    </r>
    <r>
      <rPr>
        <sz val="10"/>
        <color rgb="FF000000"/>
        <rFont val="맑은 고딕"/>
        <family val="3"/>
        <charset val="129"/>
        <scheme val="minor"/>
      </rPr>
      <t>일</t>
    </r>
    <r>
      <rPr>
        <sz val="10"/>
        <color rgb="FF000000"/>
        <rFont val="나눔고딕"/>
        <family val="3"/>
        <charset val="129"/>
      </rPr>
      <t>)</t>
    </r>
  </si>
  <si>
    <t>BOD</t>
  </si>
  <si>
    <t>T-P</t>
  </si>
  <si>
    <t>합계</t>
    <phoneticPr fontId="5" type="noConversion"/>
  </si>
  <si>
    <t>사업시행 후 토지계 발생부하량 산정</t>
  </si>
  <si>
    <t>잡</t>
    <phoneticPr fontId="5" type="noConversion"/>
  </si>
  <si>
    <t>도</t>
    <phoneticPr fontId="5" type="noConversion"/>
  </si>
  <si>
    <t>구</t>
    <phoneticPr fontId="5" type="noConversion"/>
  </si>
  <si>
    <t>합계</t>
    <phoneticPr fontId="5" type="noConversion"/>
  </si>
  <si>
    <r>
      <t xml:space="preserve">최종 토지계 배출부하량 </t>
    </r>
    <r>
      <rPr>
        <b/>
        <sz val="10"/>
        <color rgb="FF000000"/>
        <rFont val="나눔고딕 ExtraBold"/>
        <family val="3"/>
        <charset val="129"/>
      </rPr>
      <t>(</t>
    </r>
    <r>
      <rPr>
        <b/>
        <sz val="10"/>
        <color rgb="FF000000"/>
        <rFont val="맑은 고딕"/>
        <family val="3"/>
        <charset val="129"/>
        <scheme val="minor"/>
      </rPr>
      <t xml:space="preserve">단위 </t>
    </r>
    <r>
      <rPr>
        <b/>
        <sz val="10"/>
        <color rgb="FF000000"/>
        <rFont val="나눔고딕 ExtraBold"/>
        <family val="3"/>
        <charset val="129"/>
      </rPr>
      <t>: kg/</t>
    </r>
    <r>
      <rPr>
        <b/>
        <sz val="10"/>
        <color rgb="FF000000"/>
        <rFont val="맑은 고딕"/>
        <family val="3"/>
        <charset val="129"/>
        <scheme val="minor"/>
      </rPr>
      <t>일</t>
    </r>
    <r>
      <rPr>
        <b/>
        <sz val="10"/>
        <color rgb="FF000000"/>
        <rFont val="나눔고딕 ExtraBold"/>
        <family val="3"/>
        <charset val="129"/>
      </rPr>
      <t>)</t>
    </r>
  </si>
  <si>
    <t>구 분</t>
  </si>
  <si>
    <r>
      <t>오염부하량</t>
    </r>
    <r>
      <rPr>
        <sz val="10"/>
        <color rgb="FF000000"/>
        <rFont val="나눔고딕"/>
        <family val="3"/>
        <charset val="129"/>
      </rPr>
      <t>(</t>
    </r>
    <r>
      <rPr>
        <sz val="10"/>
        <color rgb="FF000000"/>
        <rFont val="맑은 고딕"/>
        <family val="3"/>
        <charset val="129"/>
        <scheme val="minor"/>
      </rPr>
      <t>㎏</t>
    </r>
    <r>
      <rPr>
        <sz val="10"/>
        <color rgb="FF000000"/>
        <rFont val="나눔고딕"/>
        <family val="3"/>
        <charset val="129"/>
      </rPr>
      <t>/</t>
    </r>
    <r>
      <rPr>
        <sz val="10"/>
        <color rgb="FF000000"/>
        <rFont val="맑은 고딕"/>
        <family val="3"/>
        <charset val="129"/>
        <scheme val="minor"/>
      </rPr>
      <t>일</t>
    </r>
    <r>
      <rPr>
        <sz val="10"/>
        <color rgb="FF000000"/>
        <rFont val="나눔고딕"/>
        <family val="3"/>
        <charset val="129"/>
      </rPr>
      <t>)</t>
    </r>
  </si>
  <si>
    <t>사업시행전</t>
  </si>
  <si>
    <t>사업시행후</t>
  </si>
  <si>
    <t>차감계</t>
  </si>
  <si>
    <t>발생부하량</t>
  </si>
  <si>
    <t>삭감량</t>
  </si>
  <si>
    <t>배출부하량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</si>
</sst>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mm&quot;월&quot;\ dd&quot;일&quot;"/>
    <numFmt numFmtId="177" formatCode="0.0000"/>
    <numFmt numFmtId="178" formatCode="0.000"/>
    <numFmt numFmtId="179" formatCode="0.000_ "/>
    <numFmt numFmtId="180" formatCode="0.0000_ "/>
  </numFmts>
  <fonts count="7" x14ac:knownFonts="1">
    <font>
      <sz val="11"/>
      <color theme="1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나눔고딕"/>
      <family val="3"/>
      <charset val="129"/>
    </font>
    <font>
      <sz val="10"/>
      <color rgb="FF000000"/>
      <name val="한컴바탕"/>
      <family val="1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나눔고딕 ExtraBold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1F1"/>
        <bgColor indexed="64"/>
      </patternFill>
    </fill>
  </fills>
  <borders count="3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double">
        <color rgb="FF000000"/>
      </bottom>
      <diagonal/>
    </border>
    <border>
      <left style="thick">
        <color rgb="FF000000"/>
      </left>
      <right style="thin">
        <color rgb="FF000000"/>
      </right>
      <top style="double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double">
        <color rgb="FF000000"/>
      </bottom>
      <diagonal/>
    </border>
    <border>
      <left style="thick">
        <color rgb="FF000000"/>
      </left>
      <right style="thin">
        <color rgb="FF000000"/>
      </right>
      <top style="double">
        <color rgb="FF000000"/>
      </top>
      <bottom style="thick">
        <color rgb="FF000000"/>
      </bottom>
      <diagonal/>
    </border>
    <border>
      <left style="thick">
        <color rgb="FF000000"/>
      </left>
      <right/>
      <top style="double">
        <color rgb="FF000000"/>
      </top>
      <bottom style="thick">
        <color rgb="FF000000"/>
      </bottom>
      <diagonal/>
    </border>
    <border>
      <left/>
      <right/>
      <top style="double">
        <color rgb="FF000000"/>
      </top>
      <bottom style="thick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double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176" fontId="3" fillId="0" borderId="7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3" fontId="3" fillId="0" borderId="7" xfId="0" applyNumberFormat="1" applyFont="1" applyBorder="1" applyAlignment="1">
      <alignment horizontal="right" vertical="center" wrapText="1"/>
    </xf>
    <xf numFmtId="0" fontId="3" fillId="0" borderId="7" xfId="0" applyFont="1" applyBorder="1" applyAlignment="1">
      <alignment horizontal="right" vertical="center" wrapText="1"/>
    </xf>
    <xf numFmtId="0" fontId="3" fillId="0" borderId="8" xfId="0" applyFont="1" applyBorder="1" applyAlignment="1">
      <alignment horizontal="center" vertical="center" wrapText="1"/>
    </xf>
    <xf numFmtId="17" fontId="3" fillId="0" borderId="9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3" fontId="3" fillId="0" borderId="9" xfId="0" applyNumberFormat="1" applyFont="1" applyBorder="1" applyAlignment="1">
      <alignment horizontal="right" vertical="center" wrapText="1"/>
    </xf>
    <xf numFmtId="0" fontId="3" fillId="0" borderId="9" xfId="0" applyFont="1" applyBorder="1" applyAlignment="1">
      <alignment horizontal="right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3" fontId="3" fillId="0" borderId="11" xfId="0" applyNumberFormat="1" applyFont="1" applyBorder="1" applyAlignment="1">
      <alignment horizontal="right" vertical="center" wrapText="1"/>
    </xf>
    <xf numFmtId="0" fontId="3" fillId="0" borderId="11" xfId="0" applyFont="1" applyBorder="1" applyAlignment="1">
      <alignment horizontal="right" vertical="center" wrapText="1"/>
    </xf>
    <xf numFmtId="0" fontId="2" fillId="0" borderId="12" xfId="0" applyFont="1" applyBorder="1" applyAlignment="1">
      <alignment horizontal="center" vertical="center" wrapText="1"/>
    </xf>
    <xf numFmtId="3" fontId="3" fillId="0" borderId="17" xfId="0" applyNumberFormat="1" applyFont="1" applyBorder="1" applyAlignment="1">
      <alignment horizontal="right" vertical="center" wrapText="1"/>
    </xf>
    <xf numFmtId="0" fontId="3" fillId="0" borderId="17" xfId="0" applyFont="1" applyBorder="1" applyAlignment="1">
      <alignment horizontal="right" vertical="center" wrapText="1"/>
    </xf>
    <xf numFmtId="0" fontId="3" fillId="0" borderId="18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center"/>
    </xf>
    <xf numFmtId="0" fontId="1" fillId="0" borderId="19" xfId="0" applyFont="1" applyBorder="1" applyAlignment="1">
      <alignment vertical="center"/>
    </xf>
    <xf numFmtId="0" fontId="2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3" fontId="3" fillId="0" borderId="29" xfId="0" applyNumberFormat="1" applyFont="1" applyBorder="1" applyAlignment="1">
      <alignment horizontal="right" vertical="center" wrapText="1"/>
    </xf>
    <xf numFmtId="177" fontId="3" fillId="0" borderId="7" xfId="0" applyNumberFormat="1" applyFont="1" applyBorder="1" applyAlignment="1">
      <alignment horizontal="center" vertical="center" wrapText="1"/>
    </xf>
    <xf numFmtId="178" fontId="3" fillId="0" borderId="7" xfId="0" applyNumberFormat="1" applyFont="1" applyBorder="1" applyAlignment="1">
      <alignment horizontal="center" vertical="center" wrapText="1"/>
    </xf>
    <xf numFmtId="178" fontId="3" fillId="0" borderId="29" xfId="0" applyNumberFormat="1" applyFont="1" applyBorder="1" applyAlignment="1">
      <alignment horizontal="center" vertical="center" wrapText="1"/>
    </xf>
    <xf numFmtId="177" fontId="3" fillId="0" borderId="30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4" fontId="3" fillId="0" borderId="17" xfId="0" applyNumberFormat="1" applyFont="1" applyBorder="1" applyAlignment="1">
      <alignment horizontal="right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3" fontId="3" fillId="0" borderId="31" xfId="0" applyNumberFormat="1" applyFont="1" applyBorder="1" applyAlignment="1">
      <alignment horizontal="center" vertical="center" wrapText="1"/>
    </xf>
    <xf numFmtId="178" fontId="3" fillId="0" borderId="17" xfId="0" applyNumberFormat="1" applyFont="1" applyBorder="1" applyAlignment="1">
      <alignment horizontal="center" vertical="center" wrapText="1"/>
    </xf>
    <xf numFmtId="177" fontId="3" fillId="0" borderId="17" xfId="0" applyNumberFormat="1" applyFon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178" fontId="3" fillId="0" borderId="7" xfId="0" applyNumberFormat="1" applyFont="1" applyBorder="1" applyAlignment="1">
      <alignment horizontal="justify" vertical="center" wrapText="1"/>
    </xf>
    <xf numFmtId="177" fontId="3" fillId="0" borderId="9" xfId="0" applyNumberFormat="1" applyFont="1" applyBorder="1" applyAlignment="1">
      <alignment horizontal="justify" vertical="center" wrapText="1"/>
    </xf>
    <xf numFmtId="179" fontId="3" fillId="4" borderId="7" xfId="0" applyNumberFormat="1" applyFont="1" applyFill="1" applyBorder="1" applyAlignment="1">
      <alignment horizontal="justify" vertical="center" wrapText="1"/>
    </xf>
    <xf numFmtId="180" fontId="3" fillId="4" borderId="7" xfId="0" applyNumberFormat="1" applyFont="1" applyFill="1" applyBorder="1" applyAlignment="1">
      <alignment horizontal="justify" vertical="center" wrapText="1"/>
    </xf>
    <xf numFmtId="179" fontId="3" fillId="2" borderId="8" xfId="0" applyNumberFormat="1" applyFont="1" applyFill="1" applyBorder="1" applyAlignment="1">
      <alignment horizontal="justify" vertical="center" wrapText="1"/>
    </xf>
    <xf numFmtId="180" fontId="3" fillId="2" borderId="10" xfId="0" applyNumberFormat="1" applyFont="1" applyFill="1" applyBorder="1" applyAlignment="1">
      <alignment horizontal="justify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workbookViewId="0">
      <selection activeCell="F27" sqref="F27"/>
    </sheetView>
  </sheetViews>
  <sheetFormatPr defaultRowHeight="16.5" x14ac:dyDescent="0.3"/>
  <cols>
    <col min="2" max="2" width="9.5" bestFit="1" customWidth="1"/>
    <col min="4" max="4" width="11.625" bestFit="1" customWidth="1"/>
    <col min="5" max="5" width="11.125" bestFit="1" customWidth="1"/>
    <col min="7" max="7" width="10.5" bestFit="1" customWidth="1"/>
  </cols>
  <sheetData>
    <row r="1" spans="1:8" ht="17.25" thickBot="1" x14ac:dyDescent="0.35">
      <c r="A1" s="28" t="s">
        <v>0</v>
      </c>
      <c r="B1" s="28"/>
      <c r="C1" s="28"/>
      <c r="D1" s="28"/>
      <c r="E1" s="28"/>
      <c r="F1" s="28"/>
      <c r="G1" s="28"/>
      <c r="H1" s="28"/>
    </row>
    <row r="2" spans="1:8" ht="18" thickTop="1" thickBot="1" x14ac:dyDescent="0.3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 t="s">
        <v>8</v>
      </c>
    </row>
    <row r="3" spans="1:8" ht="17.25" thickTop="1" x14ac:dyDescent="0.3">
      <c r="A3" s="4" t="s">
        <v>9</v>
      </c>
      <c r="B3" s="8">
        <v>45688</v>
      </c>
      <c r="C3" s="9" t="s">
        <v>13</v>
      </c>
      <c r="D3" s="10">
        <v>5170</v>
      </c>
      <c r="E3" s="10">
        <v>3994</v>
      </c>
      <c r="F3" s="11">
        <v>244</v>
      </c>
      <c r="G3" s="10">
        <v>4238</v>
      </c>
      <c r="H3" s="12" t="s">
        <v>14</v>
      </c>
    </row>
    <row r="4" spans="1:8" x14ac:dyDescent="0.3">
      <c r="A4" s="5" t="s">
        <v>10</v>
      </c>
      <c r="B4" s="13">
        <v>11355</v>
      </c>
      <c r="C4" s="14" t="s">
        <v>13</v>
      </c>
      <c r="D4" s="15">
        <v>3478</v>
      </c>
      <c r="E4" s="15">
        <v>3227</v>
      </c>
      <c r="F4" s="16">
        <v>251</v>
      </c>
      <c r="G4" s="15">
        <v>3478</v>
      </c>
      <c r="H4" s="17" t="s">
        <v>14</v>
      </c>
    </row>
    <row r="5" spans="1:8" x14ac:dyDescent="0.3">
      <c r="A5" s="5" t="s">
        <v>11</v>
      </c>
      <c r="B5" s="18">
        <v>32</v>
      </c>
      <c r="C5" s="14" t="s">
        <v>15</v>
      </c>
      <c r="D5" s="16">
        <v>96</v>
      </c>
      <c r="E5" s="16">
        <v>96</v>
      </c>
      <c r="F5" s="16" t="s">
        <v>14</v>
      </c>
      <c r="G5" s="16">
        <v>96</v>
      </c>
      <c r="H5" s="17" t="s">
        <v>14</v>
      </c>
    </row>
    <row r="6" spans="1:8" x14ac:dyDescent="0.3">
      <c r="A6" s="5" t="s">
        <v>12</v>
      </c>
      <c r="B6" s="18">
        <v>37</v>
      </c>
      <c r="C6" s="14" t="s">
        <v>16</v>
      </c>
      <c r="D6" s="15">
        <v>1544</v>
      </c>
      <c r="E6" s="16">
        <v>631</v>
      </c>
      <c r="F6" s="16">
        <v>175</v>
      </c>
      <c r="G6" s="16">
        <v>806</v>
      </c>
      <c r="H6" s="17" t="s">
        <v>14</v>
      </c>
    </row>
    <row r="7" spans="1:8" x14ac:dyDescent="0.3">
      <c r="A7" s="6"/>
      <c r="B7" s="18">
        <v>30</v>
      </c>
      <c r="C7" s="14" t="s">
        <v>13</v>
      </c>
      <c r="D7" s="15">
        <v>1458</v>
      </c>
      <c r="E7" s="15">
        <v>1458</v>
      </c>
      <c r="F7" s="16" t="s">
        <v>14</v>
      </c>
      <c r="G7" s="15">
        <v>1458</v>
      </c>
      <c r="H7" s="17" t="s">
        <v>14</v>
      </c>
    </row>
    <row r="8" spans="1:8" x14ac:dyDescent="0.3">
      <c r="A8" s="6"/>
      <c r="B8" s="18">
        <v>322</v>
      </c>
      <c r="C8" s="14" t="s">
        <v>13</v>
      </c>
      <c r="D8" s="15">
        <v>4522</v>
      </c>
      <c r="E8" s="15">
        <v>4522</v>
      </c>
      <c r="F8" s="16" t="s">
        <v>14</v>
      </c>
      <c r="G8" s="15">
        <v>4522</v>
      </c>
      <c r="H8" s="17" t="s">
        <v>14</v>
      </c>
    </row>
    <row r="9" spans="1:8" x14ac:dyDescent="0.3">
      <c r="A9" s="6"/>
      <c r="B9" s="18" t="s">
        <v>17</v>
      </c>
      <c r="C9" s="14" t="s">
        <v>15</v>
      </c>
      <c r="D9" s="15">
        <v>1964</v>
      </c>
      <c r="E9" s="15">
        <v>1964</v>
      </c>
      <c r="F9" s="16" t="s">
        <v>14</v>
      </c>
      <c r="G9" s="15">
        <v>1964</v>
      </c>
      <c r="H9" s="17" t="s">
        <v>14</v>
      </c>
    </row>
    <row r="10" spans="1:8" ht="17.25" thickBot="1" x14ac:dyDescent="0.35">
      <c r="A10" s="7"/>
      <c r="B10" s="19">
        <v>586</v>
      </c>
      <c r="C10" s="20" t="s">
        <v>18</v>
      </c>
      <c r="D10" s="21">
        <v>3754</v>
      </c>
      <c r="E10" s="22" t="s">
        <v>14</v>
      </c>
      <c r="F10" s="22">
        <v>14</v>
      </c>
      <c r="G10" s="22">
        <v>14</v>
      </c>
      <c r="H10" s="23" t="s">
        <v>19</v>
      </c>
    </row>
    <row r="11" spans="1:8" ht="18" thickTop="1" thickBot="1" x14ac:dyDescent="0.35">
      <c r="A11" s="70" t="s">
        <v>20</v>
      </c>
      <c r="B11" s="71"/>
      <c r="C11" s="72"/>
      <c r="D11" s="24">
        <v>21986</v>
      </c>
      <c r="E11" s="24">
        <v>15892</v>
      </c>
      <c r="F11" s="25">
        <v>684</v>
      </c>
      <c r="G11" s="24">
        <v>16576</v>
      </c>
      <c r="H11" s="26" t="s">
        <v>14</v>
      </c>
    </row>
    <row r="12" spans="1:8" ht="17.25" thickTop="1" x14ac:dyDescent="0.3">
      <c r="A12" s="27"/>
    </row>
    <row r="13" spans="1:8" ht="17.25" thickBot="1" x14ac:dyDescent="0.35">
      <c r="A13" s="28" t="s">
        <v>21</v>
      </c>
      <c r="B13" s="28"/>
      <c r="C13" s="28"/>
      <c r="D13" s="28"/>
      <c r="E13" s="28"/>
      <c r="F13" s="28"/>
    </row>
    <row r="14" spans="1:8" ht="27.75" thickTop="1" x14ac:dyDescent="0.3">
      <c r="A14" s="60" t="s">
        <v>22</v>
      </c>
      <c r="B14" s="29" t="s">
        <v>23</v>
      </c>
      <c r="C14" s="62" t="s">
        <v>25</v>
      </c>
      <c r="D14" s="63"/>
      <c r="E14" s="62" t="s">
        <v>26</v>
      </c>
      <c r="F14" s="64"/>
    </row>
    <row r="15" spans="1:8" ht="17.25" thickBot="1" x14ac:dyDescent="0.35">
      <c r="A15" s="61"/>
      <c r="B15" s="30" t="s">
        <v>24</v>
      </c>
      <c r="C15" s="19" t="s">
        <v>27</v>
      </c>
      <c r="D15" s="19" t="s">
        <v>28</v>
      </c>
      <c r="E15" s="19" t="s">
        <v>27</v>
      </c>
      <c r="F15" s="31" t="s">
        <v>28</v>
      </c>
    </row>
    <row r="16" spans="1:8" ht="18" thickTop="1" thickBot="1" x14ac:dyDescent="0.35">
      <c r="A16" s="32" t="s">
        <v>13</v>
      </c>
      <c r="B16" s="10">
        <f>G3+G4+G7+G8</f>
        <v>13696</v>
      </c>
      <c r="C16" s="33">
        <v>4.24</v>
      </c>
      <c r="D16" s="33">
        <v>0.46700000000000003</v>
      </c>
      <c r="E16" s="39">
        <f>$B16*C16/1000000</f>
        <v>5.8071040000000004E-2</v>
      </c>
      <c r="F16" s="38">
        <f>$B16*D16/1000000</f>
        <v>6.3960320000000003E-3</v>
      </c>
    </row>
    <row r="17" spans="1:8" ht="18" thickTop="1" thickBot="1" x14ac:dyDescent="0.35">
      <c r="A17" s="34" t="s">
        <v>15</v>
      </c>
      <c r="B17" s="15">
        <f>G5+G9</f>
        <v>2060</v>
      </c>
      <c r="C17" s="18">
        <v>4.38</v>
      </c>
      <c r="D17" s="18">
        <v>1.4</v>
      </c>
      <c r="E17" s="39">
        <f t="shared" ref="E17:E19" si="0">$B17*C17/1000000</f>
        <v>9.0227999999999992E-3</v>
      </c>
      <c r="F17" s="38">
        <f t="shared" ref="F17:F19" si="1">$B17*D17/1000000</f>
        <v>2.8839999999999998E-3</v>
      </c>
    </row>
    <row r="18" spans="1:8" ht="18" thickTop="1" thickBot="1" x14ac:dyDescent="0.35">
      <c r="A18" s="34" t="s">
        <v>16</v>
      </c>
      <c r="B18" s="16">
        <f>G6</f>
        <v>806</v>
      </c>
      <c r="C18" s="18">
        <v>0.96</v>
      </c>
      <c r="D18" s="18">
        <v>2.7E-2</v>
      </c>
      <c r="E18" s="39">
        <f t="shared" si="0"/>
        <v>7.7375999999999996E-4</v>
      </c>
      <c r="F18" s="38">
        <f t="shared" si="1"/>
        <v>2.1761999999999999E-5</v>
      </c>
    </row>
    <row r="19" spans="1:8" ht="17.25" thickTop="1" x14ac:dyDescent="0.3">
      <c r="A19" s="34" t="s">
        <v>18</v>
      </c>
      <c r="B19" s="16">
        <f>G10</f>
        <v>14</v>
      </c>
      <c r="C19" s="18">
        <v>0.96</v>
      </c>
      <c r="D19" s="18">
        <v>2.7E-2</v>
      </c>
      <c r="E19" s="39">
        <f t="shared" si="0"/>
        <v>1.344E-5</v>
      </c>
      <c r="F19" s="38">
        <f t="shared" si="1"/>
        <v>3.7800000000000002E-7</v>
      </c>
    </row>
    <row r="20" spans="1:8" ht="17.25" thickBot="1" x14ac:dyDescent="0.35">
      <c r="A20" s="35" t="s">
        <v>29</v>
      </c>
      <c r="B20" s="37">
        <f>SUM(B16:B19)</f>
        <v>16576</v>
      </c>
      <c r="C20" s="36"/>
      <c r="D20" s="36"/>
      <c r="E20" s="40">
        <f>SUM(E16:E19)</f>
        <v>6.7881040000000004E-2</v>
      </c>
      <c r="F20" s="41">
        <f>SUM(F16:F19)</f>
        <v>9.3021720000000009E-3</v>
      </c>
    </row>
    <row r="21" spans="1:8" ht="17.25" thickTop="1" x14ac:dyDescent="0.3">
      <c r="A21" s="27"/>
    </row>
    <row r="22" spans="1:8" ht="17.25" thickBot="1" x14ac:dyDescent="0.35">
      <c r="A22" s="28" t="s">
        <v>30</v>
      </c>
      <c r="B22" s="28"/>
      <c r="C22" s="28"/>
      <c r="D22" s="28"/>
      <c r="E22" s="28"/>
      <c r="F22" s="28"/>
    </row>
    <row r="23" spans="1:8" ht="27.75" thickTop="1" x14ac:dyDescent="0.3">
      <c r="A23" s="60" t="s">
        <v>22</v>
      </c>
      <c r="B23" s="29" t="s">
        <v>23</v>
      </c>
      <c r="C23" s="62" t="s">
        <v>25</v>
      </c>
      <c r="D23" s="63"/>
      <c r="E23" s="62" t="s">
        <v>26</v>
      </c>
      <c r="F23" s="64"/>
    </row>
    <row r="24" spans="1:8" ht="17.25" thickBot="1" x14ac:dyDescent="0.35">
      <c r="A24" s="61"/>
      <c r="B24" s="30" t="s">
        <v>24</v>
      </c>
      <c r="C24" s="19" t="s">
        <v>27</v>
      </c>
      <c r="D24" s="19" t="s">
        <v>28</v>
      </c>
      <c r="E24" s="19" t="s">
        <v>27</v>
      </c>
      <c r="F24" s="31" t="s">
        <v>28</v>
      </c>
    </row>
    <row r="25" spans="1:8" ht="18" thickTop="1" thickBot="1" x14ac:dyDescent="0.35">
      <c r="A25" s="5" t="s">
        <v>31</v>
      </c>
      <c r="B25" s="46">
        <f>SUM(E3:E9)</f>
        <v>15892</v>
      </c>
      <c r="C25" s="45">
        <v>0.96</v>
      </c>
      <c r="D25" s="45">
        <v>2.7E-2</v>
      </c>
      <c r="E25" s="39">
        <f>$B25*C25/1000000</f>
        <v>1.525632E-2</v>
      </c>
      <c r="F25" s="38">
        <f>$B25*D25/1000000</f>
        <v>4.2908399999999999E-4</v>
      </c>
    </row>
    <row r="26" spans="1:8" ht="18" thickTop="1" thickBot="1" x14ac:dyDescent="0.35">
      <c r="A26" s="5" t="s">
        <v>32</v>
      </c>
      <c r="B26" s="45">
        <f>SUM(F3:F9)</f>
        <v>670</v>
      </c>
      <c r="C26" s="45">
        <v>12.42</v>
      </c>
      <c r="D26" s="45">
        <v>0.39100000000000001</v>
      </c>
      <c r="E26" s="39">
        <f t="shared" ref="E26:E27" si="2">$B26*C26/1000000</f>
        <v>8.3213999999999996E-3</v>
      </c>
      <c r="F26" s="38">
        <f t="shared" ref="F26:F27" si="3">$B26*D26/1000000</f>
        <v>2.6197000000000004E-4</v>
      </c>
    </row>
    <row r="27" spans="1:8" ht="18" thickTop="1" thickBot="1" x14ac:dyDescent="0.35">
      <c r="A27" s="5" t="s">
        <v>33</v>
      </c>
      <c r="B27" s="45">
        <f>F10</f>
        <v>14</v>
      </c>
      <c r="C27" s="45">
        <v>0.96</v>
      </c>
      <c r="D27" s="45">
        <v>2.7E-2</v>
      </c>
      <c r="E27" s="39">
        <f t="shared" si="2"/>
        <v>1.344E-5</v>
      </c>
      <c r="F27" s="38">
        <f t="shared" si="3"/>
        <v>3.7800000000000002E-7</v>
      </c>
    </row>
    <row r="28" spans="1:8" ht="18" thickTop="1" thickBot="1" x14ac:dyDescent="0.35">
      <c r="A28" s="42" t="s">
        <v>34</v>
      </c>
      <c r="B28" s="43">
        <f>SUM(B25:B27)</f>
        <v>16576</v>
      </c>
      <c r="C28" s="44">
        <v>0.96</v>
      </c>
      <c r="D28" s="44">
        <v>2.7E-2</v>
      </c>
      <c r="E28" s="47">
        <f>SUM(E25:E27)</f>
        <v>2.359116E-2</v>
      </c>
      <c r="F28" s="48">
        <f>SUM(F25:F27)</f>
        <v>6.9143199999999996E-4</v>
      </c>
    </row>
    <row r="29" spans="1:8" ht="17.25" thickTop="1" x14ac:dyDescent="0.3">
      <c r="A29" s="27"/>
    </row>
    <row r="30" spans="1:8" ht="17.25" thickBot="1" x14ac:dyDescent="0.35">
      <c r="A30" s="28" t="s">
        <v>35</v>
      </c>
      <c r="B30" s="28"/>
      <c r="C30" s="28"/>
      <c r="D30" s="28"/>
      <c r="E30" s="28"/>
      <c r="F30" s="28"/>
      <c r="G30" s="28"/>
      <c r="H30" s="28"/>
    </row>
    <row r="31" spans="1:8" ht="17.25" thickTop="1" x14ac:dyDescent="0.3">
      <c r="A31" s="60" t="s">
        <v>36</v>
      </c>
      <c r="B31" s="62" t="s">
        <v>37</v>
      </c>
      <c r="C31" s="66"/>
      <c r="D31" s="66"/>
      <c r="E31" s="66"/>
      <c r="F31" s="66"/>
      <c r="G31" s="66"/>
      <c r="H31" s="64"/>
    </row>
    <row r="32" spans="1:8" x14ac:dyDescent="0.3">
      <c r="A32" s="65"/>
      <c r="B32" s="67" t="s">
        <v>38</v>
      </c>
      <c r="C32" s="68"/>
      <c r="D32" s="69"/>
      <c r="E32" s="67" t="s">
        <v>39</v>
      </c>
      <c r="F32" s="68"/>
      <c r="G32" s="69"/>
      <c r="H32" s="49" t="s">
        <v>40</v>
      </c>
    </row>
    <row r="33" spans="1:8" ht="17.25" thickBot="1" x14ac:dyDescent="0.35">
      <c r="A33" s="61"/>
      <c r="B33" s="20" t="s">
        <v>41</v>
      </c>
      <c r="C33" s="20" t="s">
        <v>42</v>
      </c>
      <c r="D33" s="20" t="s">
        <v>43</v>
      </c>
      <c r="E33" s="50" t="s">
        <v>41</v>
      </c>
      <c r="F33" s="50" t="s">
        <v>42</v>
      </c>
      <c r="G33" s="20" t="s">
        <v>43</v>
      </c>
      <c r="H33" s="51" t="s">
        <v>43</v>
      </c>
    </row>
    <row r="34" spans="1:8" ht="18" thickTop="1" thickBot="1" x14ac:dyDescent="0.35">
      <c r="A34" s="52" t="s">
        <v>27</v>
      </c>
      <c r="B34" s="54">
        <f>E20</f>
        <v>6.7881040000000004E-2</v>
      </c>
      <c r="C34" s="33">
        <v>0</v>
      </c>
      <c r="D34" s="56">
        <f>B34-C34</f>
        <v>6.7881040000000004E-2</v>
      </c>
      <c r="E34" s="54">
        <f>E28</f>
        <v>2.359116E-2</v>
      </c>
      <c r="F34" s="33">
        <v>0</v>
      </c>
      <c r="G34" s="56">
        <f>E34-F34</f>
        <v>2.359116E-2</v>
      </c>
      <c r="H34" s="58">
        <f>G34-D34</f>
        <v>-4.4289880000000004E-2</v>
      </c>
    </row>
    <row r="35" spans="1:8" ht="17.25" thickTop="1" x14ac:dyDescent="0.3">
      <c r="A35" s="53" t="s">
        <v>28</v>
      </c>
      <c r="B35" s="55">
        <f>F20</f>
        <v>9.3021720000000009E-3</v>
      </c>
      <c r="C35" s="18">
        <v>0</v>
      </c>
      <c r="D35" s="57">
        <f>B35-C35</f>
        <v>9.3021720000000009E-3</v>
      </c>
      <c r="E35" s="55">
        <f>F28</f>
        <v>6.9143199999999996E-4</v>
      </c>
      <c r="F35" s="18">
        <v>0</v>
      </c>
      <c r="G35" s="57">
        <f>E35-F35</f>
        <v>6.9143199999999996E-4</v>
      </c>
      <c r="H35" s="59">
        <f>G35-D35</f>
        <v>-8.6107400000000004E-3</v>
      </c>
    </row>
    <row r="36" spans="1:8" x14ac:dyDescent="0.3">
      <c r="A36" s="27"/>
    </row>
  </sheetData>
  <mergeCells count="11">
    <mergeCell ref="A11:C11"/>
    <mergeCell ref="A14:A15"/>
    <mergeCell ref="C14:D14"/>
    <mergeCell ref="E14:F14"/>
    <mergeCell ref="A23:A24"/>
    <mergeCell ref="C23:D23"/>
    <mergeCell ref="E23:F23"/>
    <mergeCell ref="A31:A33"/>
    <mergeCell ref="B31:H31"/>
    <mergeCell ref="B32:D32"/>
    <mergeCell ref="E32:G32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</dc:creator>
  <cp:lastModifiedBy>JAR</cp:lastModifiedBy>
  <dcterms:created xsi:type="dcterms:W3CDTF">2025-03-06T08:41:03Z</dcterms:created>
  <dcterms:modified xsi:type="dcterms:W3CDTF">2025-03-14T05:17:12Z</dcterms:modified>
</cp:coreProperties>
</file>