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01.임희창_작업\07.2025년도\2025C005_충남 천안시 동남구 동면 화덕리 30번지 외 7필지_솔랩주식회사\02.서류작성\"/>
    </mc:Choice>
  </mc:AlternateContent>
  <bookViews>
    <workbookView xWindow="0" yWindow="0" windowWidth="28800" windowHeight="12390"/>
  </bookViews>
  <sheets>
    <sheet name="최초" sheetId="1" r:id="rId1"/>
  </sheets>
  <definedNames>
    <definedName name="_xlnm.Print_Area" localSheetId="0">최초!$A$1:$G$33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4" i="1" l="1"/>
  <c r="F14" i="1"/>
  <c r="D15" i="1"/>
  <c r="F15" i="1"/>
  <c r="D16" i="1"/>
  <c r="F16" i="1"/>
  <c r="D17" i="1"/>
  <c r="F17" i="1"/>
  <c r="D18" i="1"/>
  <c r="F18" i="1"/>
  <c r="D19" i="1"/>
  <c r="F19" i="1"/>
  <c r="D20" i="1"/>
  <c r="F20" i="1"/>
  <c r="D21" i="1"/>
  <c r="F21" i="1"/>
  <c r="D22" i="1"/>
  <c r="F22" i="1"/>
  <c r="D23" i="1"/>
  <c r="F23" i="1"/>
  <c r="D24" i="1"/>
  <c r="F24" i="1"/>
  <c r="D25" i="1"/>
  <c r="F25" i="1"/>
  <c r="D26" i="1"/>
  <c r="F26" i="1"/>
  <c r="D27" i="1"/>
  <c r="F27" i="1"/>
  <c r="D28" i="1"/>
  <c r="F28" i="1"/>
  <c r="D29" i="1"/>
  <c r="F29" i="1"/>
  <c r="D30" i="1"/>
  <c r="F30" i="1"/>
  <c r="D31" i="1"/>
  <c r="F31" i="1"/>
  <c r="D32" i="1"/>
  <c r="F32" i="1"/>
  <c r="F9" i="1" l="1"/>
  <c r="F11" i="1"/>
  <c r="F12" i="1"/>
  <c r="F13" i="1"/>
  <c r="D11" i="1"/>
  <c r="D12" i="1"/>
  <c r="D13" i="1"/>
  <c r="F10" i="1"/>
  <c r="D10" i="1"/>
  <c r="D33" i="1" l="1"/>
  <c r="C5" i="1" s="1"/>
  <c r="F33" i="1"/>
  <c r="E5" i="1" s="1"/>
  <c r="G5" i="1" l="1"/>
</calcChain>
</file>

<file path=xl/sharedStrings.xml><?xml version="1.0" encoding="utf-8"?>
<sst xmlns="http://schemas.openxmlformats.org/spreadsheetml/2006/main" count="29" uniqueCount="27">
  <si>
    <t>단면적</t>
    <phoneticPr fontId="1" type="noConversion"/>
  </si>
  <si>
    <t>단면적</t>
    <phoneticPr fontId="1" type="noConversion"/>
  </si>
  <si>
    <t>측 점</t>
    <phoneticPr fontId="1" type="noConversion"/>
  </si>
  <si>
    <t>거 리</t>
    <phoneticPr fontId="1" type="noConversion"/>
  </si>
  <si>
    <t>합  계</t>
    <phoneticPr fontId="1" type="noConversion"/>
  </si>
  <si>
    <t>절  토</t>
    <phoneticPr fontId="1" type="noConversion"/>
  </si>
  <si>
    <t>입  적</t>
    <phoneticPr fontId="1" type="noConversion"/>
  </si>
  <si>
    <t>성  토</t>
    <phoneticPr fontId="1" type="noConversion"/>
  </si>
  <si>
    <t>비  고</t>
    <phoneticPr fontId="1" type="noConversion"/>
  </si>
  <si>
    <t>토 적 계 산 서</t>
    <phoneticPr fontId="1" type="noConversion"/>
  </si>
  <si>
    <t>성  토 (㎥)</t>
    <phoneticPr fontId="1" type="noConversion"/>
  </si>
  <si>
    <t>잔  토 (㎥)</t>
    <phoneticPr fontId="1" type="noConversion"/>
  </si>
  <si>
    <t>NO.0</t>
    <phoneticPr fontId="1" type="noConversion"/>
  </si>
  <si>
    <t xml:space="preserve">사 업 명 : </t>
    <phoneticPr fontId="1" type="noConversion"/>
  </si>
  <si>
    <t>절  토 (㎥)</t>
    <phoneticPr fontId="1" type="noConversion"/>
  </si>
  <si>
    <t>NO.1</t>
    <phoneticPr fontId="1" type="noConversion"/>
  </si>
  <si>
    <t>NO.2</t>
    <phoneticPr fontId="1" type="noConversion"/>
  </si>
  <si>
    <t>태양광발전시설 건립 및 도로개설</t>
    <phoneticPr fontId="1" type="noConversion"/>
  </si>
  <si>
    <t>NO.3</t>
  </si>
  <si>
    <t>NO.4</t>
  </si>
  <si>
    <t>NO.5</t>
  </si>
  <si>
    <t>NO.6</t>
  </si>
  <si>
    <t>NO.7</t>
  </si>
  <si>
    <t>NO.8</t>
  </si>
  <si>
    <t>NO.9</t>
  </si>
  <si>
    <t>NO.10</t>
  </si>
  <si>
    <t>+11.7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</si>
</sst>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_(* #,##0_);_(* \(#,##0\);_(* &quot;-&quot;_);_(@_)"/>
    <numFmt numFmtId="177" formatCode="_(* #,##0.00_);_(* \(#,##0.00\);_(* &quot;-&quot;??_);_(@_)"/>
    <numFmt numFmtId="178" formatCode="_-* #,##0.00_-;\-* #,##0.00_-;_-* &quot; &quot;??_-;_-@_-"/>
    <numFmt numFmtId="179" formatCode="_-* #,##0.00_-;\-* #,##0.00_-;_-* &quot;-&quot;_-;_-@_-"/>
  </numFmts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HY견명조"/>
      <family val="1"/>
      <charset val="129"/>
    </font>
    <font>
      <sz val="20"/>
      <color theme="1"/>
      <name val="HY견명조"/>
      <family val="1"/>
      <charset val="129"/>
    </font>
    <font>
      <sz val="11"/>
      <color theme="1"/>
      <name val="맑은 고딕"/>
      <family val="2"/>
      <charset val="129"/>
      <scheme val="minor"/>
    </font>
    <font>
      <sz val="12"/>
      <color theme="1"/>
      <name val="HY견명조"/>
      <family val="1"/>
      <charset val="129"/>
    </font>
    <font>
      <sz val="12"/>
      <color indexed="8"/>
      <name val="HY견명조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2">
    <xf numFmtId="0" fontId="0" fillId="0" borderId="0">
      <alignment vertical="center"/>
    </xf>
    <xf numFmtId="176" fontId="4" fillId="0" borderId="0" applyFont="0" applyFill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2" fontId="0" fillId="0" borderId="0" xfId="0" applyNumberFormat="1">
      <alignment vertical="center"/>
    </xf>
    <xf numFmtId="2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right" vertical="center"/>
    </xf>
    <xf numFmtId="179" fontId="6" fillId="0" borderId="1" xfId="1" applyNumberFormat="1" applyFont="1" applyBorder="1" applyAlignment="1" applyProtection="1">
      <alignment horizontal="right" vertical="center"/>
    </xf>
    <xf numFmtId="0" fontId="5" fillId="0" borderId="1" xfId="0" applyFont="1" applyBorder="1" applyAlignment="1">
      <alignment horizontal="center" vertical="center"/>
    </xf>
    <xf numFmtId="179" fontId="6" fillId="0" borderId="1" xfId="1" applyNumberFormat="1" applyFont="1" applyBorder="1" applyAlignment="1" applyProtection="1">
      <alignment horizontal="right" vertical="center"/>
      <protection locked="0"/>
    </xf>
    <xf numFmtId="179" fontId="5" fillId="0" borderId="1" xfId="1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2" fontId="5" fillId="0" borderId="0" xfId="0" applyNumberFormat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Views>
    <sheetView tabSelected="1" view="pageBreakPreview" zoomScaleNormal="100" zoomScaleSheetLayoutView="100" workbookViewId="0">
      <selection activeCell="K2" sqref="K2"/>
    </sheetView>
  </sheetViews>
  <sheetFormatPr defaultColWidth="13.75" defaultRowHeight="17" x14ac:dyDescent="0.45"/>
  <cols>
    <col min="2" max="2" width="13.75" style="2"/>
    <col min="3" max="6" width="16.25" customWidth="1"/>
    <col min="7" max="7" width="16.58203125" bestFit="1" customWidth="1"/>
  </cols>
  <sheetData>
    <row r="1" spans="1:7" ht="25.5" x14ac:dyDescent="0.45">
      <c r="A1" s="4"/>
      <c r="B1" s="20" t="s">
        <v>9</v>
      </c>
      <c r="C1" s="20"/>
      <c r="D1" s="20"/>
      <c r="E1" s="20"/>
      <c r="F1" s="20"/>
      <c r="G1" s="4"/>
    </row>
    <row r="2" spans="1:7" x14ac:dyDescent="0.45">
      <c r="A2" s="4"/>
      <c r="B2" s="5"/>
      <c r="C2" s="4"/>
      <c r="D2" s="4"/>
      <c r="E2" s="4"/>
      <c r="F2" s="4"/>
      <c r="G2" s="4"/>
    </row>
    <row r="3" spans="1:7" ht="21.5" customHeight="1" x14ac:dyDescent="0.45">
      <c r="A3" s="6" t="s">
        <v>13</v>
      </c>
      <c r="B3" s="19" t="s">
        <v>17</v>
      </c>
      <c r="C3" s="19"/>
      <c r="D3" s="19"/>
      <c r="E3" s="19"/>
      <c r="F3" s="19"/>
      <c r="G3" s="19"/>
    </row>
    <row r="4" spans="1:7" x14ac:dyDescent="0.45">
      <c r="A4" s="6"/>
      <c r="B4" s="7"/>
      <c r="C4" s="7"/>
      <c r="D4" s="7"/>
      <c r="E4" s="7"/>
      <c r="F4" s="7"/>
      <c r="G4" s="7"/>
    </row>
    <row r="5" spans="1:7" ht="26" customHeight="1" x14ac:dyDescent="0.45">
      <c r="A5" s="8" t="s">
        <v>4</v>
      </c>
      <c r="B5" s="9" t="s">
        <v>14</v>
      </c>
      <c r="C5" s="10">
        <f>D33</f>
        <v>1752.34</v>
      </c>
      <c r="D5" s="8" t="s">
        <v>10</v>
      </c>
      <c r="E5" s="10">
        <f>F33</f>
        <v>58</v>
      </c>
      <c r="F5" s="8" t="s">
        <v>11</v>
      </c>
      <c r="G5" s="11">
        <f>C5-E5</f>
        <v>1694.34</v>
      </c>
    </row>
    <row r="6" spans="1:7" x14ac:dyDescent="0.45">
      <c r="A6" s="6"/>
      <c r="B6" s="7"/>
      <c r="C6" s="6"/>
      <c r="D6" s="6"/>
      <c r="E6" s="6"/>
      <c r="F6" s="6"/>
      <c r="G6" s="6"/>
    </row>
    <row r="7" spans="1:7" x14ac:dyDescent="0.45">
      <c r="A7" s="21" t="s">
        <v>2</v>
      </c>
      <c r="B7" s="22" t="s">
        <v>3</v>
      </c>
      <c r="C7" s="21" t="s">
        <v>5</v>
      </c>
      <c r="D7" s="21"/>
      <c r="E7" s="21" t="s">
        <v>7</v>
      </c>
      <c r="F7" s="21"/>
      <c r="G7" s="21" t="s">
        <v>8</v>
      </c>
    </row>
    <row r="8" spans="1:7" ht="30" customHeight="1" x14ac:dyDescent="0.45">
      <c r="A8" s="21"/>
      <c r="B8" s="22"/>
      <c r="C8" s="8" t="s">
        <v>0</v>
      </c>
      <c r="D8" s="8" t="s">
        <v>6</v>
      </c>
      <c r="E8" s="8" t="s">
        <v>1</v>
      </c>
      <c r="F8" s="8" t="s">
        <v>6</v>
      </c>
      <c r="G8" s="21"/>
    </row>
    <row r="9" spans="1:7" ht="30" customHeight="1" x14ac:dyDescent="0.45">
      <c r="A9" s="12" t="s">
        <v>12</v>
      </c>
      <c r="B9" s="13">
        <v>0</v>
      </c>
      <c r="C9" s="14">
        <v>0</v>
      </c>
      <c r="D9" s="14">
        <v>0</v>
      </c>
      <c r="E9" s="14">
        <v>0</v>
      </c>
      <c r="F9" s="14">
        <f>(B9*E9)/2</f>
        <v>0</v>
      </c>
      <c r="G9" s="15"/>
    </row>
    <row r="10" spans="1:7" ht="30" customHeight="1" x14ac:dyDescent="0.45">
      <c r="A10" s="12" t="s">
        <v>15</v>
      </c>
      <c r="B10" s="13">
        <v>20</v>
      </c>
      <c r="C10" s="14">
        <v>3.2</v>
      </c>
      <c r="D10" s="16">
        <f>(B10*(C9+C10))/2</f>
        <v>32</v>
      </c>
      <c r="E10" s="14">
        <v>0.6</v>
      </c>
      <c r="F10" s="16">
        <f>(B10*(E9+E10))/2</f>
        <v>6</v>
      </c>
      <c r="G10" s="15"/>
    </row>
    <row r="11" spans="1:7" ht="30" customHeight="1" x14ac:dyDescent="0.45">
      <c r="A11" s="12" t="s">
        <v>16</v>
      </c>
      <c r="B11" s="13">
        <v>20</v>
      </c>
      <c r="C11" s="14">
        <v>15.1</v>
      </c>
      <c r="D11" s="16">
        <f t="shared" ref="D11:D13" si="0">(B11*(C10+C11))/2</f>
        <v>183</v>
      </c>
      <c r="E11" s="14">
        <v>0</v>
      </c>
      <c r="F11" s="16">
        <f t="shared" ref="F11:F13" si="1">(B11*(E10+E11))/2</f>
        <v>6</v>
      </c>
      <c r="G11" s="15"/>
    </row>
    <row r="12" spans="1:7" ht="30" customHeight="1" x14ac:dyDescent="0.45">
      <c r="A12" s="12" t="s">
        <v>18</v>
      </c>
      <c r="B12" s="13">
        <v>20</v>
      </c>
      <c r="C12" s="14">
        <v>19.5</v>
      </c>
      <c r="D12" s="16">
        <f t="shared" si="0"/>
        <v>346</v>
      </c>
      <c r="E12" s="14">
        <v>0</v>
      </c>
      <c r="F12" s="16">
        <f t="shared" si="1"/>
        <v>0</v>
      </c>
      <c r="G12" s="15"/>
    </row>
    <row r="13" spans="1:7" ht="30" customHeight="1" x14ac:dyDescent="0.45">
      <c r="A13" s="12" t="s">
        <v>19</v>
      </c>
      <c r="B13" s="13">
        <v>20</v>
      </c>
      <c r="C13" s="14">
        <v>25.8</v>
      </c>
      <c r="D13" s="16">
        <f t="shared" si="0"/>
        <v>453</v>
      </c>
      <c r="E13" s="14">
        <v>0</v>
      </c>
      <c r="F13" s="16">
        <f t="shared" si="1"/>
        <v>0</v>
      </c>
      <c r="G13" s="15"/>
    </row>
    <row r="14" spans="1:7" ht="30" customHeight="1" x14ac:dyDescent="0.45">
      <c r="A14" s="12" t="s">
        <v>20</v>
      </c>
      <c r="B14" s="13">
        <v>20</v>
      </c>
      <c r="C14" s="14">
        <v>14.6</v>
      </c>
      <c r="D14" s="16">
        <f t="shared" ref="D14:D32" si="2">(B14*(C13+C14))/2</f>
        <v>404</v>
      </c>
      <c r="E14" s="14">
        <v>0</v>
      </c>
      <c r="F14" s="16">
        <f t="shared" ref="F14:F32" si="3">(B14*(E13+E14))/2</f>
        <v>0</v>
      </c>
      <c r="G14" s="15"/>
    </row>
    <row r="15" spans="1:7" ht="30" customHeight="1" x14ac:dyDescent="0.45">
      <c r="A15" s="12" t="s">
        <v>21</v>
      </c>
      <c r="B15" s="13">
        <v>20</v>
      </c>
      <c r="C15" s="14">
        <v>0.9</v>
      </c>
      <c r="D15" s="16">
        <f t="shared" si="2"/>
        <v>155</v>
      </c>
      <c r="E15" s="14">
        <v>2.2999999999999998</v>
      </c>
      <c r="F15" s="16">
        <f t="shared" si="3"/>
        <v>23</v>
      </c>
      <c r="G15" s="15"/>
    </row>
    <row r="16" spans="1:7" ht="30" customHeight="1" x14ac:dyDescent="0.45">
      <c r="A16" s="12" t="s">
        <v>22</v>
      </c>
      <c r="B16" s="13">
        <v>20</v>
      </c>
      <c r="C16" s="14">
        <v>7.5</v>
      </c>
      <c r="D16" s="16">
        <f t="shared" si="2"/>
        <v>84</v>
      </c>
      <c r="E16" s="14"/>
      <c r="F16" s="16">
        <f t="shared" si="3"/>
        <v>23</v>
      </c>
      <c r="G16" s="15"/>
    </row>
    <row r="17" spans="1:7" ht="30" customHeight="1" x14ac:dyDescent="0.45">
      <c r="A17" s="12" t="s">
        <v>23</v>
      </c>
      <c r="B17" s="13">
        <v>20</v>
      </c>
      <c r="C17" s="14">
        <v>0.3</v>
      </c>
      <c r="D17" s="16">
        <f t="shared" si="2"/>
        <v>78</v>
      </c>
      <c r="E17" s="14">
        <v>0</v>
      </c>
      <c r="F17" s="16">
        <f t="shared" si="3"/>
        <v>0</v>
      </c>
      <c r="G17" s="15"/>
    </row>
    <row r="18" spans="1:7" ht="30" customHeight="1" x14ac:dyDescent="0.45">
      <c r="A18" s="12" t="s">
        <v>24</v>
      </c>
      <c r="B18" s="13">
        <v>20</v>
      </c>
      <c r="C18" s="14">
        <v>0.4</v>
      </c>
      <c r="D18" s="16">
        <f t="shared" si="2"/>
        <v>7</v>
      </c>
      <c r="E18" s="14">
        <v>0</v>
      </c>
      <c r="F18" s="16">
        <f t="shared" si="3"/>
        <v>0</v>
      </c>
      <c r="G18" s="15"/>
    </row>
    <row r="19" spans="1:7" ht="30" customHeight="1" x14ac:dyDescent="0.45">
      <c r="A19" s="12" t="s">
        <v>25</v>
      </c>
      <c r="B19" s="13">
        <v>20</v>
      </c>
      <c r="C19" s="14">
        <v>0.4</v>
      </c>
      <c r="D19" s="16">
        <f t="shared" si="2"/>
        <v>8</v>
      </c>
      <c r="E19" s="14">
        <v>0</v>
      </c>
      <c r="F19" s="16">
        <f t="shared" si="3"/>
        <v>0</v>
      </c>
      <c r="G19" s="15"/>
    </row>
    <row r="20" spans="1:7" ht="30" customHeight="1" x14ac:dyDescent="0.45">
      <c r="A20" s="12" t="s">
        <v>26</v>
      </c>
      <c r="B20" s="13">
        <v>11.7</v>
      </c>
      <c r="C20" s="14">
        <v>0</v>
      </c>
      <c r="D20" s="16">
        <f t="shared" si="2"/>
        <v>2.34</v>
      </c>
      <c r="E20" s="14">
        <v>0</v>
      </c>
      <c r="F20" s="16">
        <f t="shared" si="3"/>
        <v>0</v>
      </c>
      <c r="G20" s="15"/>
    </row>
    <row r="21" spans="1:7" ht="30" customHeight="1" x14ac:dyDescent="0.45">
      <c r="A21" s="12"/>
      <c r="B21" s="13"/>
      <c r="C21" s="14">
        <v>0</v>
      </c>
      <c r="D21" s="16">
        <f t="shared" si="2"/>
        <v>0</v>
      </c>
      <c r="E21" s="14">
        <v>0</v>
      </c>
      <c r="F21" s="16">
        <f t="shared" si="3"/>
        <v>0</v>
      </c>
      <c r="G21" s="15"/>
    </row>
    <row r="22" spans="1:7" ht="30" customHeight="1" x14ac:dyDescent="0.45">
      <c r="A22" s="12"/>
      <c r="B22" s="13"/>
      <c r="C22" s="14">
        <v>0</v>
      </c>
      <c r="D22" s="16">
        <f t="shared" si="2"/>
        <v>0</v>
      </c>
      <c r="E22" s="14">
        <v>0</v>
      </c>
      <c r="F22" s="16">
        <f t="shared" si="3"/>
        <v>0</v>
      </c>
      <c r="G22" s="15"/>
    </row>
    <row r="23" spans="1:7" ht="30" customHeight="1" x14ac:dyDescent="0.45">
      <c r="A23" s="12"/>
      <c r="B23" s="13"/>
      <c r="C23" s="14">
        <v>0</v>
      </c>
      <c r="D23" s="16">
        <f t="shared" si="2"/>
        <v>0</v>
      </c>
      <c r="E23" s="14">
        <v>0</v>
      </c>
      <c r="F23" s="16">
        <f t="shared" si="3"/>
        <v>0</v>
      </c>
      <c r="G23" s="15"/>
    </row>
    <row r="24" spans="1:7" ht="30" customHeight="1" x14ac:dyDescent="0.45">
      <c r="A24" s="12"/>
      <c r="B24" s="13"/>
      <c r="C24" s="14">
        <v>0</v>
      </c>
      <c r="D24" s="16">
        <f t="shared" si="2"/>
        <v>0</v>
      </c>
      <c r="E24" s="14">
        <v>0</v>
      </c>
      <c r="F24" s="16">
        <f t="shared" si="3"/>
        <v>0</v>
      </c>
      <c r="G24" s="15"/>
    </row>
    <row r="25" spans="1:7" ht="30" customHeight="1" x14ac:dyDescent="0.45">
      <c r="A25" s="12"/>
      <c r="B25" s="13"/>
      <c r="C25" s="14">
        <v>0</v>
      </c>
      <c r="D25" s="16">
        <f t="shared" si="2"/>
        <v>0</v>
      </c>
      <c r="E25" s="14">
        <v>0</v>
      </c>
      <c r="F25" s="16">
        <f t="shared" si="3"/>
        <v>0</v>
      </c>
      <c r="G25" s="15"/>
    </row>
    <row r="26" spans="1:7" ht="30" customHeight="1" x14ac:dyDescent="0.45">
      <c r="A26" s="12"/>
      <c r="B26" s="13"/>
      <c r="C26" s="14">
        <v>0</v>
      </c>
      <c r="D26" s="16">
        <f t="shared" si="2"/>
        <v>0</v>
      </c>
      <c r="E26" s="14">
        <v>0</v>
      </c>
      <c r="F26" s="16">
        <f t="shared" si="3"/>
        <v>0</v>
      </c>
      <c r="G26" s="15"/>
    </row>
    <row r="27" spans="1:7" ht="30" customHeight="1" x14ac:dyDescent="0.45">
      <c r="A27" s="12"/>
      <c r="B27" s="13"/>
      <c r="C27" s="14">
        <v>0</v>
      </c>
      <c r="D27" s="16">
        <f t="shared" si="2"/>
        <v>0</v>
      </c>
      <c r="E27" s="14">
        <v>0</v>
      </c>
      <c r="F27" s="16">
        <f t="shared" si="3"/>
        <v>0</v>
      </c>
      <c r="G27" s="15"/>
    </row>
    <row r="28" spans="1:7" ht="30" customHeight="1" x14ac:dyDescent="0.45">
      <c r="A28" s="12"/>
      <c r="B28" s="13"/>
      <c r="C28" s="14">
        <v>0</v>
      </c>
      <c r="D28" s="16">
        <f t="shared" si="2"/>
        <v>0</v>
      </c>
      <c r="E28" s="14">
        <v>0</v>
      </c>
      <c r="F28" s="16">
        <f t="shared" si="3"/>
        <v>0</v>
      </c>
      <c r="G28" s="15"/>
    </row>
    <row r="29" spans="1:7" ht="30" customHeight="1" x14ac:dyDescent="0.45">
      <c r="A29" s="12"/>
      <c r="B29" s="13"/>
      <c r="C29" s="14">
        <v>0</v>
      </c>
      <c r="D29" s="16">
        <f t="shared" si="2"/>
        <v>0</v>
      </c>
      <c r="E29" s="14">
        <v>0</v>
      </c>
      <c r="F29" s="16">
        <f t="shared" si="3"/>
        <v>0</v>
      </c>
      <c r="G29" s="15"/>
    </row>
    <row r="30" spans="1:7" ht="30" customHeight="1" x14ac:dyDescent="0.45">
      <c r="A30" s="12"/>
      <c r="B30" s="13"/>
      <c r="C30" s="14">
        <v>0</v>
      </c>
      <c r="D30" s="16">
        <f t="shared" si="2"/>
        <v>0</v>
      </c>
      <c r="E30" s="14">
        <v>0</v>
      </c>
      <c r="F30" s="16">
        <f t="shared" si="3"/>
        <v>0</v>
      </c>
      <c r="G30" s="15"/>
    </row>
    <row r="31" spans="1:7" ht="30" customHeight="1" x14ac:dyDescent="0.45">
      <c r="A31" s="12"/>
      <c r="B31" s="13"/>
      <c r="C31" s="14">
        <v>0</v>
      </c>
      <c r="D31" s="16">
        <f t="shared" si="2"/>
        <v>0</v>
      </c>
      <c r="E31" s="14">
        <v>0</v>
      </c>
      <c r="F31" s="16">
        <f t="shared" si="3"/>
        <v>0</v>
      </c>
      <c r="G31" s="15"/>
    </row>
    <row r="32" spans="1:7" ht="30" customHeight="1" x14ac:dyDescent="0.45">
      <c r="A32" s="12"/>
      <c r="B32" s="13"/>
      <c r="C32" s="14">
        <v>0</v>
      </c>
      <c r="D32" s="16">
        <f t="shared" si="2"/>
        <v>0</v>
      </c>
      <c r="E32" s="14">
        <v>0</v>
      </c>
      <c r="F32" s="16">
        <f t="shared" si="3"/>
        <v>0</v>
      </c>
      <c r="G32" s="15"/>
    </row>
    <row r="33" spans="1:7" ht="30" customHeight="1" x14ac:dyDescent="0.45">
      <c r="A33" s="18" t="s">
        <v>4</v>
      </c>
      <c r="B33" s="18"/>
      <c r="C33" s="17">
        <v>0</v>
      </c>
      <c r="D33" s="17">
        <f>SUM(D9:D32)</f>
        <v>1752.34</v>
      </c>
      <c r="E33" s="17">
        <v>0</v>
      </c>
      <c r="F33" s="17">
        <f>SUM(F9:F32)</f>
        <v>58</v>
      </c>
      <c r="G33" s="15"/>
    </row>
    <row r="34" spans="1:7" x14ac:dyDescent="0.45">
      <c r="A34" s="1"/>
      <c r="B34" s="3"/>
      <c r="C34" s="1"/>
      <c r="D34" s="1"/>
      <c r="E34" s="1"/>
      <c r="F34" s="1"/>
      <c r="G34" s="1"/>
    </row>
    <row r="35" spans="1:7" x14ac:dyDescent="0.45">
      <c r="A35" s="1"/>
      <c r="B35" s="3"/>
      <c r="C35" s="1"/>
      <c r="D35" s="1"/>
      <c r="E35" s="1"/>
      <c r="F35" s="1"/>
      <c r="G35" s="1"/>
    </row>
    <row r="36" spans="1:7" x14ac:dyDescent="0.45">
      <c r="A36" s="1"/>
      <c r="B36" s="3"/>
      <c r="C36" s="1"/>
      <c r="D36" s="1"/>
      <c r="E36" s="1"/>
      <c r="F36" s="1"/>
      <c r="G36" s="1"/>
    </row>
    <row r="37" spans="1:7" x14ac:dyDescent="0.45">
      <c r="A37" s="1"/>
      <c r="B37" s="3"/>
      <c r="C37" s="1"/>
      <c r="D37" s="1"/>
      <c r="E37" s="1"/>
      <c r="F37" s="1"/>
      <c r="G37" s="1"/>
    </row>
    <row r="38" spans="1:7" x14ac:dyDescent="0.45">
      <c r="A38" s="1"/>
      <c r="B38" s="3"/>
      <c r="C38" s="1"/>
      <c r="D38" s="1"/>
      <c r="E38" s="1"/>
      <c r="F38" s="1"/>
      <c r="G38" s="1"/>
    </row>
  </sheetData>
  <mergeCells count="8">
    <mergeCell ref="A33:B33"/>
    <mergeCell ref="B3:G3"/>
    <mergeCell ref="B1:F1"/>
    <mergeCell ref="A7:A8"/>
    <mergeCell ref="B7:B8"/>
    <mergeCell ref="C7:D7"/>
    <mergeCell ref="E7:F7"/>
    <mergeCell ref="G7:G8"/>
  </mergeCells>
  <phoneticPr fontId="1" type="noConversion"/>
  <printOptions horizontalCentered="1" verticalCentered="1"/>
  <pageMargins left="0.70866141732283472" right="0.70866141732283472" top="1.1417322834645669" bottom="0.74803149606299213" header="0.31496062992125984" footer="0.31496062992125984"/>
  <pageSetup paperSize="9" scale="73" orientation="portrait" r:id="rId1"/>
  <colBreaks count="1" manualBreakCount="1">
    <brk id="7" min="6" max="39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최초</vt:lpstr>
      <vt:lpstr>최초!Print_Area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user</cp:lastModifiedBy>
  <cp:lastPrinted>2025-02-25T10:05:39Z</cp:lastPrinted>
  <dcterms:created xsi:type="dcterms:W3CDTF">2018-03-27T07:11:08Z</dcterms:created>
  <dcterms:modified xsi:type="dcterms:W3CDTF">2025-03-02T03:08:32Z</dcterms:modified>
</cp:coreProperties>
</file>